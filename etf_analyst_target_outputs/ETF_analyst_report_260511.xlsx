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_History_Data" sheetId="2" state="hidden" r:id="rId2"/>
    <sheet name="SPMO" sheetId="3" r:id="rId3"/>
    <sheet name="MAGS" sheetId="4" r:id="rId4"/>
    <sheet name="TECH_TO" sheetId="5" r:id="rId5"/>
    <sheet name="CHPS_TO" sheetId="6" r:id="rId6"/>
    <sheet name="SOXX" sheetId="7" r:id="rId7"/>
    <sheet name="SMH" sheetId="8" r:id="rId8"/>
    <sheet name="XLK" sheetId="9" r:id="rId9"/>
    <sheet name="QQQ" sheetId="10" r:id="rId10"/>
  </sheets>
  <calcPr calcId="124519" fullCalcOnLoad="1"/>
</workbook>
</file>

<file path=xl/sharedStrings.xml><?xml version="1.0" encoding="utf-8"?>
<sst xmlns="http://schemas.openxmlformats.org/spreadsheetml/2006/main" count="1095" uniqueCount="296">
  <si>
    <t>5/11/2026</t>
  </si>
  <si>
    <t>reliable</t>
  </si>
  <si>
    <t>YTD</t>
  </si>
  <si>
    <t>Average</t>
  </si>
  <si>
    <t>Median</t>
  </si>
  <si>
    <t>WORST</t>
  </si>
  <si>
    <t>BEST</t>
  </si>
  <si>
    <t>Current pr</t>
  </si>
  <si>
    <t>worst price</t>
  </si>
  <si>
    <t>PE Ratio</t>
  </si>
  <si>
    <t>PE coverage</t>
  </si>
  <si>
    <t>Forward PE</t>
  </si>
  <si>
    <t>Forward PE coverage</t>
  </si>
  <si>
    <t>SPMO</t>
  </si>
  <si>
    <t>MAGS</t>
  </si>
  <si>
    <t>TECH.TO</t>
  </si>
  <si>
    <t>CHPS.TO</t>
  </si>
  <si>
    <t>SOXX</t>
  </si>
  <si>
    <t>SMH</t>
  </si>
  <si>
    <t>XLK</t>
  </si>
  <si>
    <t>QQQ</t>
  </si>
  <si>
    <t>Fear &amp; Greed Index</t>
  </si>
  <si>
    <t>Metric</t>
  </si>
  <si>
    <t>Score</t>
  </si>
  <si>
    <t>Rating</t>
  </si>
  <si>
    <t>As of</t>
  </si>
  <si>
    <t>Source</t>
  </si>
  <si>
    <t>CNN Fear &amp; Greed Index</t>
  </si>
  <si>
    <t>greed</t>
  </si>
  <si>
    <t>2026-05-11 14:54</t>
  </si>
  <si>
    <t>CNN</t>
  </si>
  <si>
    <t>VIX percentile analysis</t>
  </si>
  <si>
    <t>Period</t>
  </si>
  <si>
    <t>Start Date</t>
  </si>
  <si>
    <t>End Date</t>
  </si>
  <si>
    <t>Trading Days</t>
  </si>
  <si>
    <t>30th Percentile</t>
  </si>
  <si>
    <t>70th Percentile</t>
  </si>
  <si>
    <t>Mean</t>
  </si>
  <si>
    <t>Min</t>
  </si>
  <si>
    <t>Max</t>
  </si>
  <si>
    <t>Latest VIX</t>
  </si>
  <si>
    <t>Percentile Rank</t>
  </si>
  <si>
    <t>Last 20 Years</t>
  </si>
  <si>
    <t>2006-05-11</t>
  </si>
  <si>
    <t>2026-05-11</t>
  </si>
  <si>
    <t>Last 10 Years</t>
  </si>
  <si>
    <t>2016-05-11</t>
  </si>
  <si>
    <t>Last 5 Years</t>
  </si>
  <si>
    <t>2021-05-11</t>
  </si>
  <si>
    <t>Last 3 Years</t>
  </si>
  <si>
    <t>2023-05-11</t>
  </si>
  <si>
    <t>Date</t>
  </si>
  <si>
    <t>ETF</t>
  </si>
  <si>
    <t>Covered Weight</t>
  </si>
  <si>
    <t>PE history, last 1 year</t>
  </si>
  <si>
    <t>Weight</t>
  </si>
  <si>
    <t>Analyst Target Return</t>
  </si>
  <si>
    <t>Price</t>
  </si>
  <si>
    <t>PE ratio</t>
  </si>
  <si>
    <t>Growth</t>
  </si>
  <si>
    <t>12-month estimate price target</t>
  </si>
  <si>
    <t>EPS (Est Avg)</t>
  </si>
  <si>
    <t>% of Portfolio</t>
  </si>
  <si>
    <t>Worst</t>
  </si>
  <si>
    <t>Best</t>
  </si>
  <si>
    <t>Current</t>
  </si>
  <si>
    <t>Forward</t>
  </si>
  <si>
    <t>2025</t>
  </si>
  <si>
    <t>2026</t>
  </si>
  <si>
    <t>2027</t>
  </si>
  <si>
    <t>GOOGL</t>
  </si>
  <si>
    <t>NVDA</t>
  </si>
  <si>
    <t>MU</t>
  </si>
  <si>
    <t>AVGO</t>
  </si>
  <si>
    <t>JNJ</t>
  </si>
  <si>
    <t>AMD</t>
  </si>
  <si>
    <t>LRCX</t>
  </si>
  <si>
    <t>INTC</t>
  </si>
  <si>
    <t>-</t>
  </si>
  <si>
    <t>XOM</t>
  </si>
  <si>
    <t>CAT</t>
  </si>
  <si>
    <t>SNDK</t>
  </si>
  <si>
    <t>AMAT</t>
  </si>
  <si>
    <t>STX</t>
  </si>
  <si>
    <t>CSCO</t>
  </si>
  <si>
    <t>WDC</t>
  </si>
  <si>
    <t>GE</t>
  </si>
  <si>
    <t>GEV</t>
  </si>
  <si>
    <t>RTX</t>
  </si>
  <si>
    <t>KLAC</t>
  </si>
  <si>
    <t>GS</t>
  </si>
  <si>
    <t>PM</t>
  </si>
  <si>
    <t>PLTR</t>
  </si>
  <si>
    <t>KO</t>
  </si>
  <si>
    <t>NEM</t>
  </si>
  <si>
    <t>APH</t>
  </si>
  <si>
    <t>GLW</t>
  </si>
  <si>
    <t>C</t>
  </si>
  <si>
    <t>MS</t>
  </si>
  <si>
    <t>ADI</t>
  </si>
  <si>
    <t>GILD</t>
  </si>
  <si>
    <t>WELL</t>
  </si>
  <si>
    <t>CIEN</t>
  </si>
  <si>
    <t>HWM</t>
  </si>
  <si>
    <t>SCHW</t>
  </si>
  <si>
    <t>CMI</t>
  </si>
  <si>
    <t>PWR</t>
  </si>
  <si>
    <t>FIX</t>
  </si>
  <si>
    <t>LMT</t>
  </si>
  <si>
    <t>BK</t>
  </si>
  <si>
    <t>MO</t>
  </si>
  <si>
    <t>MCK</t>
  </si>
  <si>
    <t>GD</t>
  </si>
  <si>
    <t>MNST</t>
  </si>
  <si>
    <t>JCI</t>
  </si>
  <si>
    <t>CME</t>
  </si>
  <si>
    <t>PH</t>
  </si>
  <si>
    <t>LHX</t>
  </si>
  <si>
    <t>GM</t>
  </si>
  <si>
    <t>FCX</t>
  </si>
  <si>
    <t>HCA</t>
  </si>
  <si>
    <t>NOC</t>
  </si>
  <si>
    <t>MPWR</t>
  </si>
  <si>
    <t>WMB</t>
  </si>
  <si>
    <t>AEP</t>
  </si>
  <si>
    <t>CAH</t>
  </si>
  <si>
    <t>TEL</t>
  </si>
  <si>
    <t>TER</t>
  </si>
  <si>
    <t>COR</t>
  </si>
  <si>
    <t>HOOD</t>
  </si>
  <si>
    <t>ROK</t>
  </si>
  <si>
    <t>F</t>
  </si>
  <si>
    <t>VTR</t>
  </si>
  <si>
    <t>IDXX</t>
  </si>
  <si>
    <t>EME</t>
  </si>
  <si>
    <t>ETR</t>
  </si>
  <si>
    <t>EBAY</t>
  </si>
  <si>
    <t>DG</t>
  </si>
  <si>
    <t>CBOE</t>
  </si>
  <si>
    <t>STT</t>
  </si>
  <si>
    <t>ADM</t>
  </si>
  <si>
    <t>JBL</t>
  </si>
  <si>
    <t>CHRW</t>
  </si>
  <si>
    <t>TPR</t>
  </si>
  <si>
    <t>WEC</t>
  </si>
  <si>
    <t>CNP</t>
  </si>
  <si>
    <t>NTRS</t>
  </si>
  <si>
    <t>ALB</t>
  </si>
  <si>
    <t>ATO</t>
  </si>
  <si>
    <t>HSY</t>
  </si>
  <si>
    <t>ULTA</t>
  </si>
  <si>
    <t>NRG</t>
  </si>
  <si>
    <t>HII</t>
  </si>
  <si>
    <t>EXPD</t>
  </si>
  <si>
    <t>FE</t>
  </si>
  <si>
    <t>NI</t>
  </si>
  <si>
    <t>EVRG</t>
  </si>
  <si>
    <t>BG</t>
  </si>
  <si>
    <t>DLTR</t>
  </si>
  <si>
    <t>L</t>
  </si>
  <si>
    <t>LDOS</t>
  </si>
  <si>
    <t>ROL</t>
  </si>
  <si>
    <t>HAS</t>
  </si>
  <si>
    <t>FOXA</t>
  </si>
  <si>
    <t>RL</t>
  </si>
  <si>
    <t>IVZ</t>
  </si>
  <si>
    <t>TKO</t>
  </si>
  <si>
    <t>AGPXX</t>
  </si>
  <si>
    <t>FOX</t>
  </si>
  <si>
    <t>LUV</t>
  </si>
  <si>
    <t>TOTAL</t>
  </si>
  <si>
    <t>AMZN</t>
  </si>
  <si>
    <t>AAPL</t>
  </si>
  <si>
    <t>TSLA</t>
  </si>
  <si>
    <t>MSFT</t>
  </si>
  <si>
    <t>META</t>
  </si>
  <si>
    <t>NFLX</t>
  </si>
  <si>
    <t>TSM</t>
  </si>
  <si>
    <t>ASML</t>
  </si>
  <si>
    <t>QCOM</t>
  </si>
  <si>
    <t>ARM</t>
  </si>
  <si>
    <t>MRVL</t>
  </si>
  <si>
    <t>TXN</t>
  </si>
  <si>
    <t>NXPI</t>
  </si>
  <si>
    <t>MCHP</t>
  </si>
  <si>
    <t>ON</t>
  </si>
  <si>
    <t>CRDO</t>
  </si>
  <si>
    <t>ALAB</t>
  </si>
  <si>
    <t>MTSI</t>
  </si>
  <si>
    <t>ENTG</t>
  </si>
  <si>
    <t>ASX</t>
  </si>
  <si>
    <t>NVMI</t>
  </si>
  <si>
    <t>RMBS</t>
  </si>
  <si>
    <t>STM</t>
  </si>
  <si>
    <t>UMC</t>
  </si>
  <si>
    <t>SWKS</t>
  </si>
  <si>
    <t>SNPS</t>
  </si>
  <si>
    <t>CDNS</t>
  </si>
  <si>
    <t>ORCL</t>
  </si>
  <si>
    <t>IBM</t>
  </si>
  <si>
    <t>CRM</t>
  </si>
  <si>
    <t>PANW</t>
  </si>
  <si>
    <t>ANET</t>
  </si>
  <si>
    <t>CRWD</t>
  </si>
  <si>
    <t>APP</t>
  </si>
  <si>
    <t>ACN</t>
  </si>
  <si>
    <t>INTU</t>
  </si>
  <si>
    <t>ADBE</t>
  </si>
  <si>
    <t>NOW</t>
  </si>
  <si>
    <t>DELL</t>
  </si>
  <si>
    <t>FTNT</t>
  </si>
  <si>
    <t>DDOG</t>
  </si>
  <si>
    <t>LITE</t>
  </si>
  <si>
    <t>MSI</t>
  </si>
  <si>
    <t>COHR</t>
  </si>
  <si>
    <t>KEYS</t>
  </si>
  <si>
    <t>ADSK</t>
  </si>
  <si>
    <t>HPE</t>
  </si>
  <si>
    <t>ROP</t>
  </si>
  <si>
    <t>Q</t>
  </si>
  <si>
    <t>TDY</t>
  </si>
  <si>
    <t>WDAY</t>
  </si>
  <si>
    <t>FICO</t>
  </si>
  <si>
    <t>CTSH</t>
  </si>
  <si>
    <t>VRSN</t>
  </si>
  <si>
    <t>FSLR</t>
  </si>
  <si>
    <t>NTAP</t>
  </si>
  <si>
    <t>AKAM</t>
  </si>
  <si>
    <t>HPQ</t>
  </si>
  <si>
    <t>FFIV</t>
  </si>
  <si>
    <t>SMCI</t>
  </si>
  <si>
    <t>PTC</t>
  </si>
  <si>
    <t>TRMB</t>
  </si>
  <si>
    <t>TYL</t>
  </si>
  <si>
    <t>CDW</t>
  </si>
  <si>
    <t>GEN</t>
  </si>
  <si>
    <t>GDDY</t>
  </si>
  <si>
    <t>IT</t>
  </si>
  <si>
    <t>ZBRA</t>
  </si>
  <si>
    <t>EPAM</t>
  </si>
  <si>
    <t>IXTM6</t>
  </si>
  <si>
    <t>WMT</t>
  </si>
  <si>
    <t>COST</t>
  </si>
  <si>
    <t>LIN</t>
  </si>
  <si>
    <t>TMUS</t>
  </si>
  <si>
    <t>PEP</t>
  </si>
  <si>
    <t>AMGN</t>
  </si>
  <si>
    <t>ISRG</t>
  </si>
  <si>
    <t>HON</t>
  </si>
  <si>
    <t>SHOP</t>
  </si>
  <si>
    <t>BKNG</t>
  </si>
  <si>
    <t>SBUX</t>
  </si>
  <si>
    <t>CEG</t>
  </si>
  <si>
    <t>VRTX</t>
  </si>
  <si>
    <t>MAR</t>
  </si>
  <si>
    <t>CMCSA</t>
  </si>
  <si>
    <t>ADP</t>
  </si>
  <si>
    <t>CSX</t>
  </si>
  <si>
    <t>MELI</t>
  </si>
  <si>
    <t>MDLZ</t>
  </si>
  <si>
    <t>ORLY</t>
  </si>
  <si>
    <t>REGN</t>
  </si>
  <si>
    <t>ROST</t>
  </si>
  <si>
    <t>WBD</t>
  </si>
  <si>
    <t>DASH</t>
  </si>
  <si>
    <t>CTAS</t>
  </si>
  <si>
    <t>PDD</t>
  </si>
  <si>
    <t>BKR</t>
  </si>
  <si>
    <t>PCAR</t>
  </si>
  <si>
    <t>ABNB</t>
  </si>
  <si>
    <t>MSTR</t>
  </si>
  <si>
    <t>FANG</t>
  </si>
  <si>
    <t>FAST</t>
  </si>
  <si>
    <t>FER</t>
  </si>
  <si>
    <t>EA</t>
  </si>
  <si>
    <t>XEL</t>
  </si>
  <si>
    <t>EXC</t>
  </si>
  <si>
    <t>CCEP</t>
  </si>
  <si>
    <t>PYPL</t>
  </si>
  <si>
    <t>ODFL</t>
  </si>
  <si>
    <t>TTWO</t>
  </si>
  <si>
    <t>TRI</t>
  </si>
  <si>
    <t>KDP</t>
  </si>
  <si>
    <t>ALNY</t>
  </si>
  <si>
    <t>PAYX</t>
  </si>
  <si>
    <t>CPRT</t>
  </si>
  <si>
    <t>AXON</t>
  </si>
  <si>
    <t>GEHC</t>
  </si>
  <si>
    <t>KHC</t>
  </si>
  <si>
    <t>ZS</t>
  </si>
  <si>
    <t>VRSK</t>
  </si>
  <si>
    <t>DXCM</t>
  </si>
  <si>
    <t>INSM</t>
  </si>
  <si>
    <t>CHTR</t>
  </si>
  <si>
    <t>CSGP</t>
  </si>
</sst>
</file>

<file path=xl/styles.xml><?xml version="1.0" encoding="utf-8"?>
<styleSheet xmlns="http://schemas.openxmlformats.org/spreadsheetml/2006/main">
  <numFmts count="5">
    <numFmt numFmtId="164" formatCode="0.00%"/>
    <numFmt numFmtId="165" formatCode="#,##0.00"/>
    <numFmt numFmtId="166" formatCode="0.00"/>
    <numFmt numFmtId="167" formatCode="#,##0"/>
    <numFmt numFmtId="168" formatCode="yyyy-mm-d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3" fillId="0" borderId="0" xfId="0" applyFont="1"/>
    <xf numFmtId="168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numFmt numFmtId="164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%"/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CHPS.TO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CHPS.TO Current PE</c:v>
          </c:tx>
          <c:marker>
            <c:symbol val="circle"/>
            <c:size val="4"/>
          </c:marker>
          <c:cat>
            <c:numRef>
              <c:f>PE_History_Data!$A$2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PE_History_Data!$C$2</c:f>
              <c:numCache>
                <c:formatCode>General</c:formatCode>
                <c:ptCount val="1"/>
                <c:pt idx="0">
                  <c:v>53.26449181340857</c:v>
                </c:pt>
              </c:numCache>
            </c:numRef>
          </c:val>
        </c:ser>
        <c:ser>
          <c:idx val="1"/>
          <c:order val="1"/>
          <c:tx>
            <c:v>CHPS.TO Forward PE</c:v>
          </c:tx>
          <c:marker>
            <c:symbol val="diamond"/>
            <c:size val="4"/>
          </c:marker>
          <c:cat>
            <c:numRef>
              <c:f>PE_History_Data!$A$2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PE_History_Data!$D$2</c:f>
              <c:numCache>
                <c:formatCode>General</c:formatCode>
                <c:ptCount val="1"/>
                <c:pt idx="0">
                  <c:v>25.93249319663132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MAGS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MAGS Current PE</c:v>
          </c:tx>
          <c:marker>
            <c:symbol val="circle"/>
            <c:size val="4"/>
          </c:marker>
          <c:cat>
            <c:numRef>
              <c:f>PE_History_Data!$A$3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PE_History_Data!$C$3</c:f>
              <c:numCache>
                <c:formatCode>General</c:formatCode>
                <c:ptCount val="1"/>
                <c:pt idx="0">
                  <c:v>34.42170829708593</c:v>
                </c:pt>
              </c:numCache>
            </c:numRef>
          </c:val>
        </c:ser>
        <c:ser>
          <c:idx val="1"/>
          <c:order val="1"/>
          <c:tx>
            <c:v>MAGS Forward PE</c:v>
          </c:tx>
          <c:marker>
            <c:symbol val="diamond"/>
            <c:size val="4"/>
          </c:marker>
          <c:cat>
            <c:numRef>
              <c:f>PE_History_Data!$A$3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PE_History_Data!$D$3</c:f>
              <c:numCache>
                <c:formatCode>General</c:formatCode>
                <c:ptCount val="1"/>
                <c:pt idx="0">
                  <c:v>26.01477334208454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QQQ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QQQ Current PE</c:v>
          </c:tx>
          <c:marker>
            <c:symbol val="circle"/>
            <c:size val="4"/>
          </c:marker>
          <c:cat>
            <c:numRef>
              <c:f>PE_History_Data!$A$4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PE_History_Data!$C$4</c:f>
              <c:numCache>
                <c:formatCode>General</c:formatCode>
                <c:ptCount val="1"/>
                <c:pt idx="0">
                  <c:v>36.56347931591439</c:v>
                </c:pt>
              </c:numCache>
            </c:numRef>
          </c:val>
        </c:ser>
        <c:ser>
          <c:idx val="1"/>
          <c:order val="1"/>
          <c:tx>
            <c:v>QQQ Forward PE</c:v>
          </c:tx>
          <c:marker>
            <c:symbol val="diamond"/>
            <c:size val="4"/>
          </c:marker>
          <c:cat>
            <c:numRef>
              <c:f>PE_History_Data!$A$4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PE_History_Data!$D$4</c:f>
              <c:numCache>
                <c:formatCode>General</c:formatCode>
                <c:ptCount val="1"/>
                <c:pt idx="0">
                  <c:v>22.72964238966481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SMH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SMH Current PE</c:v>
          </c:tx>
          <c:marker>
            <c:symbol val="circle"/>
            <c:size val="4"/>
          </c:marker>
          <c:cat>
            <c:numRef>
              <c:f>PE_History_Data!$A$5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PE_History_Data!$C$5</c:f>
              <c:numCache>
                <c:formatCode>General</c:formatCode>
                <c:ptCount val="1"/>
                <c:pt idx="0">
                  <c:v>54.66910192050099</c:v>
                </c:pt>
              </c:numCache>
            </c:numRef>
          </c:val>
        </c:ser>
        <c:ser>
          <c:idx val="1"/>
          <c:order val="1"/>
          <c:tx>
            <c:v>SMH Forward PE</c:v>
          </c:tx>
          <c:marker>
            <c:symbol val="diamond"/>
            <c:size val="4"/>
          </c:marker>
          <c:cat>
            <c:numRef>
              <c:f>PE_History_Data!$A$5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PE_History_Data!$D$5</c:f>
              <c:numCache>
                <c:formatCode>General</c:formatCode>
                <c:ptCount val="1"/>
                <c:pt idx="0">
                  <c:v>22.56574131784717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SOXX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SOXX Current PE</c:v>
          </c:tx>
          <c:marker>
            <c:symbol val="circle"/>
            <c:size val="4"/>
          </c:marker>
          <c:cat>
            <c:numRef>
              <c:f>PE_History_Data!$A$6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PE_History_Data!$C$6</c:f>
              <c:numCache>
                <c:formatCode>General</c:formatCode>
                <c:ptCount val="1"/>
                <c:pt idx="0">
                  <c:v>57.16392578808276</c:v>
                </c:pt>
              </c:numCache>
            </c:numRef>
          </c:val>
        </c:ser>
        <c:ser>
          <c:idx val="1"/>
          <c:order val="1"/>
          <c:tx>
            <c:v>SOXX Forward PE</c:v>
          </c:tx>
          <c:marker>
            <c:symbol val="diamond"/>
            <c:size val="4"/>
          </c:marker>
          <c:cat>
            <c:numRef>
              <c:f>PE_History_Data!$A$6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PE_History_Data!$D$6</c:f>
              <c:numCache>
                <c:formatCode>General</c:formatCode>
                <c:ptCount val="1"/>
                <c:pt idx="0">
                  <c:v>23.58706076165031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SPMO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SPMO Current PE</c:v>
          </c:tx>
          <c:marker>
            <c:symbol val="circle"/>
            <c:size val="4"/>
          </c:marker>
          <c:cat>
            <c:numRef>
              <c:f>PE_History_Data!$A$7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PE_History_Data!$C$7</c:f>
              <c:numCache>
                <c:formatCode>General</c:formatCode>
                <c:ptCount val="1"/>
                <c:pt idx="0">
                  <c:v>35.91957141339604</c:v>
                </c:pt>
              </c:numCache>
            </c:numRef>
          </c:val>
        </c:ser>
        <c:ser>
          <c:idx val="1"/>
          <c:order val="1"/>
          <c:tx>
            <c:v>SPMO Forward PE</c:v>
          </c:tx>
          <c:marker>
            <c:symbol val="diamond"/>
            <c:size val="4"/>
          </c:marker>
          <c:cat>
            <c:numRef>
              <c:f>PE_History_Data!$A$7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PE_History_Data!$D$7</c:f>
              <c:numCache>
                <c:formatCode>General</c:formatCode>
                <c:ptCount val="1"/>
                <c:pt idx="0">
                  <c:v>19.10923935143763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60002"/>
        <c:crosses val="autoZero"/>
        <c:auto val="1"/>
        <c:lblOffset val="100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TECH.TO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TECH.TO Current PE</c:v>
          </c:tx>
          <c:marker>
            <c:symbol val="circle"/>
            <c:size val="4"/>
          </c:marker>
          <c:cat>
            <c:numRef>
              <c:f>PE_History_Data!$A$8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PE_History_Data!$C$8</c:f>
              <c:numCache>
                <c:formatCode>General</c:formatCode>
                <c:ptCount val="1"/>
                <c:pt idx="0">
                  <c:v>28.13794731775636</c:v>
                </c:pt>
              </c:numCache>
            </c:numRef>
          </c:val>
        </c:ser>
        <c:ser>
          <c:idx val="1"/>
          <c:order val="1"/>
          <c:tx>
            <c:v>TECH.TO Forward PE</c:v>
          </c:tx>
          <c:marker>
            <c:symbol val="diamond"/>
            <c:size val="4"/>
          </c:marker>
          <c:cat>
            <c:numRef>
              <c:f>PE_History_Data!$A$8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PE_History_Data!$D$8</c:f>
              <c:numCache>
                <c:formatCode>General</c:formatCode>
                <c:ptCount val="1"/>
                <c:pt idx="0">
                  <c:v>23.59847768192577</c:v>
                </c:pt>
              </c:numCache>
            </c:numRef>
          </c:val>
        </c:ser>
        <c:marker val="1"/>
        <c:axId val="50070001"/>
        <c:axId val="50070002"/>
      </c:lineChart>
      <c:date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70002"/>
        <c:crosses val="autoZero"/>
        <c:auto val="1"/>
        <c:lblOffset val="100"/>
      </c:date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XLK PE vs Forward PE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XLK Current PE</c:v>
          </c:tx>
          <c:marker>
            <c:symbol val="circle"/>
            <c:size val="4"/>
          </c:marker>
          <c:cat>
            <c:numRef>
              <c:f>PE_History_Data!$A$9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PE_History_Data!$C$9</c:f>
              <c:numCache>
                <c:formatCode>General</c:formatCode>
                <c:ptCount val="1"/>
                <c:pt idx="0">
                  <c:v>40.69797668816307</c:v>
                </c:pt>
              </c:numCache>
            </c:numRef>
          </c:val>
        </c:ser>
        <c:ser>
          <c:idx val="1"/>
          <c:order val="1"/>
          <c:tx>
            <c:v>XLK Forward PE</c:v>
          </c:tx>
          <c:marker>
            <c:symbol val="diamond"/>
            <c:size val="4"/>
          </c:marker>
          <c:cat>
            <c:numRef>
              <c:f>PE_History_Data!$A$9</c:f>
              <c:numCache>
                <c:formatCode>General</c:formatCode>
                <c:ptCount val="1"/>
                <c:pt idx="0">
                  <c:v>46153</c:v>
                </c:pt>
              </c:numCache>
            </c:numRef>
          </c:cat>
          <c:val>
            <c:numRef>
              <c:f>PE_History_Data!$D$9</c:f>
              <c:numCache>
                <c:formatCode>General</c:formatCode>
                <c:ptCount val="1"/>
                <c:pt idx="0">
                  <c:v>21.57531855713585</c:v>
                </c:pt>
              </c:numCache>
            </c:numRef>
          </c:val>
        </c:ser>
        <c:marker val="1"/>
        <c:axId val="50080001"/>
        <c:axId val="50080002"/>
      </c:lineChart>
      <c:date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mmm yyyy" sourceLinked="0"/>
        <c:tickLblPos val="nextTo"/>
        <c:crossAx val="50080002"/>
        <c:crosses val="autoZero"/>
        <c:auto val="1"/>
        <c:lblOffset val="100"/>
      </c:date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6</xdr:col>
      <xdr:colOff>581025</xdr:colOff>
      <xdr:row>46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47625</xdr:colOff>
      <xdr:row>46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6</xdr:col>
      <xdr:colOff>581025</xdr:colOff>
      <xdr:row>62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47</xdr:row>
      <xdr:rowOff>0</xdr:rowOff>
    </xdr:from>
    <xdr:to>
      <xdr:col>14</xdr:col>
      <xdr:colOff>47625</xdr:colOff>
      <xdr:row>62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63</xdr:row>
      <xdr:rowOff>0</xdr:rowOff>
    </xdr:from>
    <xdr:to>
      <xdr:col>6</xdr:col>
      <xdr:colOff>581025</xdr:colOff>
      <xdr:row>78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63</xdr:row>
      <xdr:rowOff>0</xdr:rowOff>
    </xdr:from>
    <xdr:to>
      <xdr:col>14</xdr:col>
      <xdr:colOff>47625</xdr:colOff>
      <xdr:row>78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79</xdr:row>
      <xdr:rowOff>0</xdr:rowOff>
    </xdr:from>
    <xdr:to>
      <xdr:col>6</xdr:col>
      <xdr:colOff>581025</xdr:colOff>
      <xdr:row>94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79</xdr:row>
      <xdr:rowOff>0</xdr:rowOff>
    </xdr:from>
    <xdr:to>
      <xdr:col>14</xdr:col>
      <xdr:colOff>47625</xdr:colOff>
      <xdr:row>94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N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2" max="2" width="14.7109375" customWidth="1"/>
    <col min="3" max="8" width="12.7109375" customWidth="1"/>
    <col min="9" max="14" width="14.7109375" customWidth="1"/>
    <col min="15" max="16" width="15.7109375" customWidth="1"/>
  </cols>
  <sheetData>
    <row r="4" spans="2:14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 spans="2:14">
      <c r="B5" s="3" t="s">
        <v>13</v>
      </c>
      <c r="C5" s="4">
        <v>0.9985614899999999</v>
      </c>
      <c r="D5" s="4">
        <v>0.2290872260284964</v>
      </c>
      <c r="E5" s="4">
        <v>0.0460928995155973</v>
      </c>
      <c r="F5" s="4">
        <v>0.04977930713592375</v>
      </c>
      <c r="G5" s="4">
        <v>-0.2898395799858791</v>
      </c>
      <c r="H5" s="4">
        <v>0.3332230288772495</v>
      </c>
      <c r="I5" s="5">
        <v>146.5700073242188</v>
      </c>
      <c r="J5" s="6">
        <v>104.08821796284</v>
      </c>
      <c r="K5" s="7">
        <v>35.91957141339604</v>
      </c>
      <c r="L5" s="4">
        <v>0.9996491399999999</v>
      </c>
      <c r="M5" s="7">
        <v>19.10923935143763</v>
      </c>
      <c r="N5" s="4">
        <v>0.9996491399999999</v>
      </c>
    </row>
    <row r="6" spans="2:14">
      <c r="B6" s="3" t="s">
        <v>14</v>
      </c>
      <c r="C6" s="4">
        <v>0.9984</v>
      </c>
      <c r="D6" s="4">
        <v>0.06472843849581267</v>
      </c>
      <c r="E6" s="4">
        <v>0.163965105052564</v>
      </c>
      <c r="F6" s="4">
        <v>0.1789114186934844</v>
      </c>
      <c r="G6" s="4">
        <v>-0.2488120137581002</v>
      </c>
      <c r="H6" s="4">
        <v>0.5487719992836988</v>
      </c>
      <c r="I6" s="5">
        <v>69.55999755859375</v>
      </c>
      <c r="J6" s="6">
        <v>52.25263448903151</v>
      </c>
      <c r="K6" s="7">
        <v>34.42170829708593</v>
      </c>
      <c r="L6" s="4">
        <v>0.9984</v>
      </c>
      <c r="M6" s="7">
        <v>26.01477334208454</v>
      </c>
      <c r="N6" s="4">
        <v>0.9984</v>
      </c>
    </row>
    <row r="7" spans="2:14">
      <c r="B7" s="3" t="s">
        <v>15</v>
      </c>
      <c r="C7" s="4">
        <v>0.9997295369999999</v>
      </c>
      <c r="D7" s="4">
        <v>0.03662381108768376</v>
      </c>
      <c r="E7" s="4">
        <v>0.2179830821420891</v>
      </c>
      <c r="F7" s="4">
        <v>0.2261832551294778</v>
      </c>
      <c r="G7" s="4">
        <v>-0.1258300779592794</v>
      </c>
      <c r="H7" s="4">
        <v>0.5865756287586953</v>
      </c>
      <c r="I7" s="5">
        <v>21.18000030517578</v>
      </c>
      <c r="J7" s="6">
        <v>18.51491921559795</v>
      </c>
      <c r="K7" s="7">
        <v>28.13794731775636</v>
      </c>
      <c r="L7" s="4">
        <v>0.9997295369999999</v>
      </c>
      <c r="M7" s="7">
        <v>23.59847768192577</v>
      </c>
      <c r="N7" s="4">
        <v>0.9997295369999999</v>
      </c>
    </row>
    <row r="8" spans="2:14">
      <c r="B8" s="3" t="s">
        <v>16</v>
      </c>
      <c r="C8" s="4">
        <v>0.9262</v>
      </c>
      <c r="D8" s="4">
        <v>0.3892839481608621</v>
      </c>
      <c r="E8" s="4">
        <v>0.07381682645111805</v>
      </c>
      <c r="F8" s="4">
        <v>0.08597811321339557</v>
      </c>
      <c r="G8" s="4">
        <v>-0.3008191033623867</v>
      </c>
      <c r="H8" s="4">
        <v>0.409542872052461</v>
      </c>
      <c r="I8" s="5">
        <v>80.12000274658203</v>
      </c>
      <c r="J8" s="6">
        <v>56.01837535896326</v>
      </c>
      <c r="K8" s="7">
        <v>53.26449181340857</v>
      </c>
      <c r="L8" s="4">
        <v>0.9262</v>
      </c>
      <c r="M8" s="7">
        <v>25.93249319663132</v>
      </c>
      <c r="N8" s="4">
        <v>0.9262</v>
      </c>
    </row>
    <row r="9" spans="2:14">
      <c r="B9" s="3" t="s">
        <v>17</v>
      </c>
      <c r="C9" s="4">
        <v>0.9991</v>
      </c>
      <c r="D9" s="4">
        <v>0.6983902424541246</v>
      </c>
      <c r="E9" s="4">
        <v>-0.04659962010637499</v>
      </c>
      <c r="F9" s="4">
        <v>-0.04404640907509289</v>
      </c>
      <c r="G9" s="4">
        <v>-0.3964295949863872</v>
      </c>
      <c r="H9" s="4">
        <v>0.274653878014027</v>
      </c>
      <c r="I9" s="5">
        <v>532.97998046875</v>
      </c>
      <c r="J9" s="6">
        <v>321.6909426756709</v>
      </c>
      <c r="K9" s="7">
        <v>57.16392578808276</v>
      </c>
      <c r="L9" s="4">
        <v>0.9991</v>
      </c>
      <c r="M9" s="7">
        <v>23.58706076165031</v>
      </c>
      <c r="N9" s="4">
        <v>0.9991</v>
      </c>
    </row>
    <row r="10" spans="2:14">
      <c r="B10" s="3" t="s">
        <v>18</v>
      </c>
      <c r="C10" s="4">
        <v>0.9999</v>
      </c>
      <c r="D10" s="4">
        <v>0.5446150983617628</v>
      </c>
      <c r="E10" s="4">
        <v>-0.04071316798328396</v>
      </c>
      <c r="F10" s="4">
        <v>-0.03618713444743663</v>
      </c>
      <c r="G10" s="4">
        <v>-0.4205762973205514</v>
      </c>
      <c r="H10" s="4">
        <v>0.297584842924926</v>
      </c>
      <c r="I10" s="5">
        <v>576.89501953125</v>
      </c>
      <c r="J10" s="6">
        <v>334.2666482741297</v>
      </c>
      <c r="K10" s="7">
        <v>54.66910192050099</v>
      </c>
      <c r="L10" s="4">
        <v>0.9999</v>
      </c>
      <c r="M10" s="7">
        <v>22.56574131784717</v>
      </c>
      <c r="N10" s="4">
        <v>0.9999</v>
      </c>
    </row>
    <row r="11" spans="2:14">
      <c r="B11" s="3" t="s">
        <v>19</v>
      </c>
      <c r="C11" s="4">
        <v>0.9974930900000001</v>
      </c>
      <c r="D11" s="4">
        <v>0.2353178647851411</v>
      </c>
      <c r="E11" s="4">
        <v>0.08550505608817313</v>
      </c>
      <c r="F11" s="4">
        <v>0.0813174161323766</v>
      </c>
      <c r="G11" s="4">
        <v>-0.301706861976747</v>
      </c>
      <c r="H11" s="4">
        <v>0.5061635219430081</v>
      </c>
      <c r="I11" s="5">
        <v>178.0200042724609</v>
      </c>
      <c r="J11" s="6">
        <v>124.3101474143297</v>
      </c>
      <c r="K11" s="7">
        <v>40.69797668816307</v>
      </c>
      <c r="L11" s="4">
        <v>0.99909852</v>
      </c>
      <c r="M11" s="7">
        <v>21.57531855713585</v>
      </c>
      <c r="N11" s="4">
        <v>0.99909852</v>
      </c>
    </row>
    <row r="12" spans="2:14">
      <c r="B12" s="3" t="s">
        <v>20</v>
      </c>
      <c r="C12" s="4">
        <v>0.9990740999999999</v>
      </c>
      <c r="D12" s="4">
        <v>0.1650893258330652</v>
      </c>
      <c r="E12" s="4">
        <v>0.1059194406534973</v>
      </c>
      <c r="F12" s="4">
        <v>0.1122863321856966</v>
      </c>
      <c r="G12" s="4">
        <v>-0.279318251020665</v>
      </c>
      <c r="H12" s="4">
        <v>0.4567561900105399</v>
      </c>
      <c r="I12" s="5">
        <v>713.4400024414062</v>
      </c>
      <c r="J12" s="6">
        <v>514.1631887512937</v>
      </c>
      <c r="K12" s="7">
        <v>36.56347931591439</v>
      </c>
      <c r="L12" s="4">
        <v>0.9990740999999999</v>
      </c>
      <c r="M12" s="7">
        <v>22.72964238966481</v>
      </c>
      <c r="N12" s="4">
        <v>0.9990740999999999</v>
      </c>
    </row>
    <row r="16" spans="2:14">
      <c r="B16" s="8" t="s">
        <v>21</v>
      </c>
    </row>
    <row r="17" spans="2:13">
      <c r="B17" s="2" t="s">
        <v>22</v>
      </c>
      <c r="C17" s="2" t="s">
        <v>23</v>
      </c>
      <c r="D17" s="2" t="s">
        <v>24</v>
      </c>
      <c r="E17" s="2" t="s">
        <v>25</v>
      </c>
      <c r="F17" s="2" t="s">
        <v>26</v>
      </c>
    </row>
    <row r="18" spans="2:13">
      <c r="B18" s="3" t="s">
        <v>27</v>
      </c>
      <c r="C18" s="7">
        <v>67.3428571428571</v>
      </c>
      <c r="D18" s="3" t="s">
        <v>28</v>
      </c>
      <c r="E18" s="9" t="s">
        <v>29</v>
      </c>
      <c r="F18" s="3" t="s">
        <v>30</v>
      </c>
    </row>
    <row r="21" spans="2:13">
      <c r="B21" s="8" t="s">
        <v>31</v>
      </c>
    </row>
    <row r="22" spans="2:13">
      <c r="B22" s="2" t="s">
        <v>32</v>
      </c>
      <c r="C22" s="2" t="s">
        <v>33</v>
      </c>
      <c r="D22" s="2" t="s">
        <v>34</v>
      </c>
      <c r="E22" s="2" t="s">
        <v>35</v>
      </c>
      <c r="F22" s="2" t="s">
        <v>4</v>
      </c>
      <c r="G22" s="2" t="s">
        <v>36</v>
      </c>
      <c r="H22" s="2" t="s">
        <v>37</v>
      </c>
      <c r="I22" s="2" t="s">
        <v>38</v>
      </c>
      <c r="J22" s="2" t="s">
        <v>39</v>
      </c>
      <c r="K22" s="2" t="s">
        <v>40</v>
      </c>
      <c r="L22" s="2" t="s">
        <v>41</v>
      </c>
      <c r="M22" s="2" t="s">
        <v>42</v>
      </c>
    </row>
    <row r="23" spans="2:13">
      <c r="B23" s="3" t="s">
        <v>43</v>
      </c>
      <c r="C23" s="9" t="s">
        <v>44</v>
      </c>
      <c r="D23" s="9" t="s">
        <v>45</v>
      </c>
      <c r="E23" s="10">
        <v>5031</v>
      </c>
      <c r="F23" s="7">
        <v>17.28</v>
      </c>
      <c r="G23" s="7">
        <v>14.56</v>
      </c>
      <c r="H23" s="7">
        <v>21.24</v>
      </c>
      <c r="I23" s="7">
        <v>19.61</v>
      </c>
      <c r="J23" s="7">
        <v>9.140000000000001</v>
      </c>
      <c r="K23" s="7">
        <v>82.69</v>
      </c>
      <c r="L23" s="7">
        <v>18.19</v>
      </c>
      <c r="M23" s="4">
        <v>0.5564</v>
      </c>
    </row>
    <row r="24" spans="2:13">
      <c r="B24" s="3" t="s">
        <v>46</v>
      </c>
      <c r="C24" s="9" t="s">
        <v>47</v>
      </c>
      <c r="D24" s="9" t="s">
        <v>45</v>
      </c>
      <c r="E24" s="10">
        <v>2514</v>
      </c>
      <c r="F24" s="7">
        <v>16.87</v>
      </c>
      <c r="G24" s="7">
        <v>14.22</v>
      </c>
      <c r="H24" s="7">
        <v>20.33</v>
      </c>
      <c r="I24" s="7">
        <v>18.55</v>
      </c>
      <c r="J24" s="7">
        <v>9.140000000000001</v>
      </c>
      <c r="K24" s="7">
        <v>82.69</v>
      </c>
      <c r="L24" s="7">
        <v>18.19</v>
      </c>
      <c r="M24" s="4">
        <v>0.5882999999999999</v>
      </c>
    </row>
    <row r="25" spans="2:13">
      <c r="B25" s="3" t="s">
        <v>48</v>
      </c>
      <c r="C25" s="9" t="s">
        <v>49</v>
      </c>
      <c r="D25" s="9" t="s">
        <v>45</v>
      </c>
      <c r="E25" s="10">
        <v>1256</v>
      </c>
      <c r="F25" s="7">
        <v>17.94</v>
      </c>
      <c r="G25" s="7">
        <v>16.09</v>
      </c>
      <c r="H25" s="7">
        <v>20.8</v>
      </c>
      <c r="I25" s="7">
        <v>19.24</v>
      </c>
      <c r="J25" s="7">
        <v>11.86</v>
      </c>
      <c r="K25" s="7">
        <v>52.33</v>
      </c>
      <c r="L25" s="7">
        <v>18.19</v>
      </c>
      <c r="M25" s="4">
        <v>0.5183</v>
      </c>
    </row>
    <row r="26" spans="2:13">
      <c r="B26" s="3" t="s">
        <v>50</v>
      </c>
      <c r="C26" s="9" t="s">
        <v>51</v>
      </c>
      <c r="D26" s="9" t="s">
        <v>45</v>
      </c>
      <c r="E26" s="10">
        <v>752</v>
      </c>
      <c r="F26" s="7">
        <v>16.32</v>
      </c>
      <c r="G26" s="7">
        <v>14.7</v>
      </c>
      <c r="H26" s="7">
        <v>18</v>
      </c>
      <c r="I26" s="7">
        <v>17.18</v>
      </c>
      <c r="J26" s="7">
        <v>11.86</v>
      </c>
      <c r="K26" s="7">
        <v>52.33</v>
      </c>
      <c r="L26" s="7">
        <v>18.19</v>
      </c>
      <c r="M26" s="4">
        <v>0.7141</v>
      </c>
    </row>
    <row r="30" spans="2:13">
      <c r="B30" s="11" t="s">
        <v>55</v>
      </c>
    </row>
  </sheetData>
  <conditionalFormatting sqref="D5:H12">
    <cfRule type="cellIs" dxfId="0" priority="1" operator="lessThan">
      <formula>0</formula>
    </cfRule>
    <cfRule type="cellIs" dxfId="1" priority="2" operator="greaterThanOrEqual">
      <formula>0.3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52</v>
      </c>
      <c r="B1" t="s">
        <v>53</v>
      </c>
      <c r="C1" t="s">
        <v>9</v>
      </c>
      <c r="D1" t="s">
        <v>11</v>
      </c>
      <c r="E1" t="s">
        <v>10</v>
      </c>
      <c r="F1" t="s">
        <v>12</v>
      </c>
      <c r="G1" t="s">
        <v>2</v>
      </c>
      <c r="H1" t="s">
        <v>54</v>
      </c>
    </row>
    <row r="2" spans="1:8">
      <c r="A2" s="12">
        <v>46153</v>
      </c>
      <c r="B2" t="s">
        <v>16</v>
      </c>
      <c r="C2" s="13">
        <v>53.26449181340857</v>
      </c>
      <c r="D2" s="13">
        <v>25.93249319663132</v>
      </c>
      <c r="E2" s="14">
        <v>0.9262</v>
      </c>
      <c r="F2" s="14">
        <v>0.9262</v>
      </c>
      <c r="G2" s="14">
        <v>0.3892839481608621</v>
      </c>
      <c r="H2" s="14">
        <v>0.9262</v>
      </c>
    </row>
    <row r="3" spans="1:8">
      <c r="A3" s="12">
        <v>46153</v>
      </c>
      <c r="B3" t="s">
        <v>14</v>
      </c>
      <c r="C3" s="13">
        <v>34.42170829708593</v>
      </c>
      <c r="D3" s="13">
        <v>26.01477334208454</v>
      </c>
      <c r="E3" s="14">
        <v>0.9984</v>
      </c>
      <c r="F3" s="14">
        <v>0.9984</v>
      </c>
      <c r="G3" s="14">
        <v>0.06472843849581267</v>
      </c>
      <c r="H3" s="14">
        <v>0.9984</v>
      </c>
    </row>
    <row r="4" spans="1:8">
      <c r="A4" s="12">
        <v>46153</v>
      </c>
      <c r="B4" t="s">
        <v>20</v>
      </c>
      <c r="C4" s="13">
        <v>36.56347931591439</v>
      </c>
      <c r="D4" s="13">
        <v>22.72964238966481</v>
      </c>
      <c r="E4" s="14">
        <v>0.9990740999999999</v>
      </c>
      <c r="F4" s="14">
        <v>0.9990740999999999</v>
      </c>
      <c r="G4" s="14">
        <v>0.1650893258330652</v>
      </c>
      <c r="H4" s="14">
        <v>0.9990740999999999</v>
      </c>
    </row>
    <row r="5" spans="1:8">
      <c r="A5" s="12">
        <v>46153</v>
      </c>
      <c r="B5" t="s">
        <v>18</v>
      </c>
      <c r="C5" s="13">
        <v>54.66910192050099</v>
      </c>
      <c r="D5" s="13">
        <v>22.56574131784717</v>
      </c>
      <c r="E5" s="14">
        <v>0.9999</v>
      </c>
      <c r="F5" s="14">
        <v>0.9999</v>
      </c>
      <c r="G5" s="14">
        <v>0.5446150983617628</v>
      </c>
      <c r="H5" s="14">
        <v>0.9999</v>
      </c>
    </row>
    <row r="6" spans="1:8">
      <c r="A6" s="12">
        <v>46153</v>
      </c>
      <c r="B6" t="s">
        <v>17</v>
      </c>
      <c r="C6" s="13">
        <v>57.16392578808276</v>
      </c>
      <c r="D6" s="13">
        <v>23.58706076165031</v>
      </c>
      <c r="E6" s="14">
        <v>0.9991</v>
      </c>
      <c r="F6" s="14">
        <v>0.9991</v>
      </c>
      <c r="G6" s="14">
        <v>0.6983902424541246</v>
      </c>
      <c r="H6" s="14">
        <v>0.9991</v>
      </c>
    </row>
    <row r="7" spans="1:8">
      <c r="A7" s="12">
        <v>46153</v>
      </c>
      <c r="B7" t="s">
        <v>13</v>
      </c>
      <c r="C7" s="13">
        <v>35.91957141339604</v>
      </c>
      <c r="D7" s="13">
        <v>19.10923935143763</v>
      </c>
      <c r="E7" s="14">
        <v>0.9996491399999999</v>
      </c>
      <c r="F7" s="14">
        <v>0.9996491399999999</v>
      </c>
      <c r="G7" s="14">
        <v>0.2290872260284964</v>
      </c>
      <c r="H7" s="14">
        <v>0.9985614899999999</v>
      </c>
    </row>
    <row r="8" spans="1:8">
      <c r="A8" s="12">
        <v>46153</v>
      </c>
      <c r="B8" t="s">
        <v>15</v>
      </c>
      <c r="C8" s="13">
        <v>28.13794731775636</v>
      </c>
      <c r="D8" s="13">
        <v>23.59847768192577</v>
      </c>
      <c r="E8" s="14">
        <v>0.9997295369999999</v>
      </c>
      <c r="F8" s="14">
        <v>0.9997295369999999</v>
      </c>
      <c r="G8" s="14">
        <v>0.03662381108768376</v>
      </c>
      <c r="H8" s="14">
        <v>0.9997295369999999</v>
      </c>
    </row>
    <row r="9" spans="1:8">
      <c r="A9" s="12">
        <v>46153</v>
      </c>
      <c r="B9" t="s">
        <v>19</v>
      </c>
      <c r="C9" s="13">
        <v>40.69797668816307</v>
      </c>
      <c r="D9" s="13">
        <v>21.57531855713585</v>
      </c>
      <c r="E9" s="14">
        <v>0.99909852</v>
      </c>
      <c r="F9" s="14">
        <v>0.99909852</v>
      </c>
      <c r="G9" s="14">
        <v>0.2353178647851411</v>
      </c>
      <c r="H9" s="14">
        <v>0.9974930900000001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13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71</v>
      </c>
      <c r="B3" s="4">
        <v>0.09500935000000001</v>
      </c>
      <c r="C3" s="4">
        <v>0.2439338805847646</v>
      </c>
      <c r="D3" s="4">
        <v>-0.1468973903758194</v>
      </c>
      <c r="E3" s="4">
        <v>0.09218963166948368</v>
      </c>
      <c r="F3" s="4">
        <v>0.09758279617736099</v>
      </c>
      <c r="G3" s="4">
        <v>0.3145468372821882</v>
      </c>
      <c r="H3" s="15"/>
      <c r="I3" s="6">
        <v>391.7699890136719</v>
      </c>
      <c r="J3" s="7">
        <v>29.881771</v>
      </c>
      <c r="K3" s="7">
        <v>27.083382</v>
      </c>
      <c r="L3" s="4">
        <v>0.6587965628566954</v>
      </c>
      <c r="M3" s="4">
        <v>0.3164</v>
      </c>
      <c r="N3" s="4">
        <v>0.0165</v>
      </c>
      <c r="O3" s="3" t="s">
        <v>71</v>
      </c>
      <c r="P3" s="5">
        <v>334.22</v>
      </c>
      <c r="Q3" s="5">
        <v>427.88712</v>
      </c>
      <c r="R3" s="5">
        <v>430</v>
      </c>
      <c r="S3" s="5">
        <v>515</v>
      </c>
      <c r="T3" s="7">
        <v>10.81</v>
      </c>
      <c r="U3" s="7">
        <v>14.22259</v>
      </c>
      <c r="V3" s="7">
        <v>14.42841</v>
      </c>
    </row>
    <row r="4" spans="1:22" ht="18" customHeight="1">
      <c r="A4" s="3" t="s">
        <v>72</v>
      </c>
      <c r="B4" s="4">
        <v>0.09009693000000001</v>
      </c>
      <c r="C4" s="4">
        <v>0.1709132594536888</v>
      </c>
      <c r="D4" s="4">
        <v>-0.3668596097525967</v>
      </c>
      <c r="E4" s="4">
        <v>0.2172822265908143</v>
      </c>
      <c r="F4" s="4">
        <v>0.1984443101111562</v>
      </c>
      <c r="G4" s="4">
        <v>0.7185239163858088</v>
      </c>
      <c r="H4" s="15"/>
      <c r="I4" s="6">
        <v>221.1199951171875</v>
      </c>
      <c r="J4" s="7">
        <v>45.033607</v>
      </c>
      <c r="K4" s="7">
        <v>19.592112</v>
      </c>
      <c r="L4" s="4">
        <v>0.3487891106312935</v>
      </c>
      <c r="M4" s="4">
        <v>0.7486</v>
      </c>
      <c r="N4" s="4">
        <v>0.3531</v>
      </c>
      <c r="O4" s="3" t="s">
        <v>72</v>
      </c>
      <c r="P4" s="5">
        <v>140</v>
      </c>
      <c r="Q4" s="5">
        <v>269.16544</v>
      </c>
      <c r="R4" s="5">
        <v>265</v>
      </c>
      <c r="S4" s="5">
        <v>380</v>
      </c>
      <c r="T4" s="7">
        <v>4.9</v>
      </c>
      <c r="U4" s="7">
        <v>8.34076</v>
      </c>
      <c r="V4" s="7">
        <v>11.28592</v>
      </c>
    </row>
    <row r="5" spans="1:22" ht="18" customHeight="1">
      <c r="A5" s="3" t="s">
        <v>73</v>
      </c>
      <c r="B5" s="4">
        <v>0.08621731000000001</v>
      </c>
      <c r="C5" s="4">
        <v>1.580849943710126</v>
      </c>
      <c r="D5" s="4">
        <v>-0.6939076486473346</v>
      </c>
      <c r="E5" s="4">
        <v>-0.2945065474514813</v>
      </c>
      <c r="F5" s="4">
        <v>-0.3238923966105784</v>
      </c>
      <c r="G5" s="4">
        <v>0.2292865516171301</v>
      </c>
      <c r="H5" s="15"/>
      <c r="I5" s="6">
        <v>813.47998046875</v>
      </c>
      <c r="J5" s="7">
        <v>38.36445</v>
      </c>
      <c r="K5" s="7">
        <v>7.994627</v>
      </c>
      <c r="L5" s="4">
        <v>2.27888901203893</v>
      </c>
      <c r="M5" s="4">
        <v>0.060095</v>
      </c>
      <c r="N5" s="4">
        <v>0.7516</v>
      </c>
      <c r="O5" s="3" t="s">
        <v>73</v>
      </c>
      <c r="P5" s="5">
        <v>249</v>
      </c>
      <c r="Q5" s="5">
        <v>573.9048</v>
      </c>
      <c r="R5" s="5">
        <v>550</v>
      </c>
      <c r="S5" s="5">
        <v>1000</v>
      </c>
      <c r="T5" s="7">
        <v>7.59</v>
      </c>
      <c r="U5" s="7">
        <v>58.10855</v>
      </c>
      <c r="V5" s="7">
        <v>101.7821</v>
      </c>
    </row>
    <row r="6" spans="1:22" ht="18" customHeight="1">
      <c r="A6" s="3" t="s">
        <v>74</v>
      </c>
      <c r="B6" s="4">
        <v>0.07623114</v>
      </c>
      <c r="C6" s="4">
        <v>0.2367526887339428</v>
      </c>
      <c r="D6" s="4">
        <v>-0.1608782592446348</v>
      </c>
      <c r="E6" s="4">
        <v>0.1083235331136219</v>
      </c>
      <c r="F6" s="4">
        <v>0.1130017533630192</v>
      </c>
      <c r="G6" s="4">
        <v>0.4684630463218891</v>
      </c>
      <c r="H6" s="15"/>
      <c r="I6" s="6">
        <v>429.0199890136719</v>
      </c>
      <c r="J6" s="7">
        <v>83.79297</v>
      </c>
      <c r="K6" s="7">
        <v>23.679277</v>
      </c>
      <c r="L6" s="4">
        <v>0.5054206911816896</v>
      </c>
      <c r="M6" s="4">
        <v>0.6753</v>
      </c>
      <c r="N6" s="4">
        <v>0.5857</v>
      </c>
      <c r="O6" s="3" t="s">
        <v>74</v>
      </c>
      <c r="P6" s="5">
        <v>360</v>
      </c>
      <c r="Q6" s="5">
        <v>475.49295</v>
      </c>
      <c r="R6" s="5">
        <v>477.5</v>
      </c>
      <c r="S6" s="5">
        <v>630</v>
      </c>
      <c r="T6" s="7">
        <v>4.77</v>
      </c>
      <c r="U6" s="7">
        <v>11.42564</v>
      </c>
      <c r="V6" s="7">
        <v>18.11795</v>
      </c>
    </row>
    <row r="7" spans="1:22" ht="18" customHeight="1">
      <c r="A7" s="3" t="s">
        <v>75</v>
      </c>
      <c r="B7" s="4">
        <v>0.03953757</v>
      </c>
      <c r="C7" s="4">
        <v>0.07120586827049014</v>
      </c>
      <c r="D7" s="4">
        <v>-0.2984520761870348</v>
      </c>
      <c r="E7" s="4">
        <v>0.1424670372534347</v>
      </c>
      <c r="F7" s="4">
        <v>0.1722639501132772</v>
      </c>
      <c r="G7" s="4">
        <v>0.2899429566883551</v>
      </c>
      <c r="H7" s="15"/>
      <c r="I7" s="6">
        <v>220.9400024414062</v>
      </c>
      <c r="J7" s="7">
        <v>25.60139</v>
      </c>
      <c r="K7" s="7">
        <v>17.382563</v>
      </c>
      <c r="L7" s="4">
        <v>0.4809394967665335</v>
      </c>
      <c r="M7" s="4">
        <v>0.0728</v>
      </c>
      <c r="N7" s="4">
        <v>0.09810001</v>
      </c>
      <c r="O7" s="3" t="s">
        <v>75</v>
      </c>
      <c r="P7" s="5">
        <v>155</v>
      </c>
      <c r="Q7" s="5">
        <v>252.41667</v>
      </c>
      <c r="R7" s="5">
        <v>259</v>
      </c>
      <c r="S7" s="5">
        <v>285</v>
      </c>
      <c r="T7" s="7">
        <v>11.03</v>
      </c>
      <c r="U7" s="7">
        <v>11.57529</v>
      </c>
      <c r="V7" s="7">
        <v>12.71044</v>
      </c>
    </row>
    <row r="8" spans="1:22" ht="18" customHeight="1">
      <c r="A8" s="3" t="s">
        <v>76</v>
      </c>
      <c r="B8" s="4">
        <v>0.03816115</v>
      </c>
      <c r="C8" s="4">
        <v>1.080189657727071</v>
      </c>
      <c r="D8" s="4">
        <v>-0.5159729008374034</v>
      </c>
      <c r="E8" s="4">
        <v>-0.04265712776843533</v>
      </c>
      <c r="F8" s="4">
        <v>-0.02118964391563793</v>
      </c>
      <c r="G8" s="4">
        <v>0.3445197198961016</v>
      </c>
      <c r="H8" s="15"/>
      <c r="I8" s="6">
        <v>464.8500061035156</v>
      </c>
      <c r="J8" s="7">
        <v>154.95332</v>
      </c>
      <c r="K8" s="7">
        <v>36.028873</v>
      </c>
      <c r="L8" s="4">
        <v>0.7753461704239681</v>
      </c>
      <c r="M8" s="4">
        <v>0.7586000000000001</v>
      </c>
      <c r="N8" s="4">
        <v>0.7594</v>
      </c>
      <c r="O8" s="3" t="s">
        <v>76</v>
      </c>
      <c r="P8" s="5">
        <v>225</v>
      </c>
      <c r="Q8" s="5">
        <v>445.02084</v>
      </c>
      <c r="R8" s="5">
        <v>455</v>
      </c>
      <c r="S8" s="5">
        <v>625</v>
      </c>
      <c r="T8" s="7">
        <v>2.65</v>
      </c>
      <c r="U8" s="7">
        <v>7.3335</v>
      </c>
      <c r="V8" s="7">
        <v>12.90243</v>
      </c>
    </row>
    <row r="9" spans="1:22" ht="18" customHeight="1">
      <c r="A9" s="3" t="s">
        <v>77</v>
      </c>
      <c r="B9" s="4">
        <v>0.03416103</v>
      </c>
      <c r="C9" s="4">
        <v>0.6085389792727649</v>
      </c>
      <c r="D9" s="4">
        <v>-0.2600565230038607</v>
      </c>
      <c r="E9" s="4">
        <v>0.04422421078929584</v>
      </c>
      <c r="F9" s="4">
        <v>0.05946452388083578</v>
      </c>
      <c r="G9" s="4">
        <v>0.2949010847432436</v>
      </c>
      <c r="H9" s="15"/>
      <c r="I9" s="6">
        <v>297.3200073242188</v>
      </c>
      <c r="J9" s="7">
        <v>56.20416</v>
      </c>
      <c r="K9" s="7">
        <v>37.5739</v>
      </c>
      <c r="L9" s="4">
        <v>1.384700031317069</v>
      </c>
      <c r="M9" s="4">
        <v>0.37080002</v>
      </c>
      <c r="N9" s="4">
        <v>0.3944</v>
      </c>
      <c r="O9" s="3" t="s">
        <v>77</v>
      </c>
      <c r="P9" s="5">
        <v>220</v>
      </c>
      <c r="Q9" s="5">
        <v>310.46875</v>
      </c>
      <c r="R9" s="5">
        <v>315</v>
      </c>
      <c r="S9" s="5">
        <v>385</v>
      </c>
      <c r="T9" s="7">
        <v>4.15</v>
      </c>
      <c r="U9" s="7">
        <v>5.675</v>
      </c>
      <c r="V9" s="7">
        <v>7.91294</v>
      </c>
    </row>
    <row r="10" spans="1:22" ht="18" customHeight="1">
      <c r="A10" s="3" t="s">
        <v>78</v>
      </c>
      <c r="B10" s="4">
        <v>0.03362249</v>
      </c>
      <c r="C10" s="4">
        <v>2.262188746914604</v>
      </c>
      <c r="D10" s="4">
        <v>-0.8411709777932589</v>
      </c>
      <c r="E10" s="4">
        <v>-0.3568981747903521</v>
      </c>
      <c r="F10" s="4">
        <v>-0.3654624848113037</v>
      </c>
      <c r="G10" s="4">
        <v>-0.08128310684336004</v>
      </c>
      <c r="H10" s="15"/>
      <c r="I10" s="6">
        <v>128.4400024414062</v>
      </c>
      <c r="J10" s="9" t="s">
        <v>79</v>
      </c>
      <c r="K10" s="7">
        <v>83.90603</v>
      </c>
      <c r="L10" s="4">
        <v>0.8249259534597484</v>
      </c>
      <c r="M10" s="4">
        <v>0.015855</v>
      </c>
      <c r="N10" s="4">
        <v>0.4129</v>
      </c>
      <c r="O10" s="3" t="s">
        <v>78</v>
      </c>
      <c r="P10" s="5">
        <v>20.4</v>
      </c>
      <c r="Q10" s="5">
        <v>82.59999999999999</v>
      </c>
      <c r="R10" s="5">
        <v>81.5</v>
      </c>
      <c r="S10" s="5">
        <v>118</v>
      </c>
      <c r="T10" s="7">
        <v>-0.06</v>
      </c>
      <c r="U10" s="7">
        <v>1.08591</v>
      </c>
      <c r="V10" s="7">
        <v>1.53433</v>
      </c>
    </row>
    <row r="11" spans="1:22" ht="18" customHeight="1">
      <c r="A11" s="3" t="s">
        <v>80</v>
      </c>
      <c r="B11" s="4">
        <v>0.02890205</v>
      </c>
      <c r="C11" s="4">
        <v>0.2234698336295013</v>
      </c>
      <c r="D11" s="4">
        <v>-0.17485661969282</v>
      </c>
      <c r="E11" s="4">
        <v>0.1154378108661533</v>
      </c>
      <c r="F11" s="4">
        <v>0.1068996565096318</v>
      </c>
      <c r="G11" s="4">
        <v>0.3081541395113829</v>
      </c>
      <c r="H11" s="15"/>
      <c r="I11" s="6">
        <v>149.0650024414062</v>
      </c>
      <c r="J11" s="7">
        <v>25.095118</v>
      </c>
      <c r="K11" s="7">
        <v>14.59057</v>
      </c>
      <c r="L11" s="4">
        <v>0.1625817163802856</v>
      </c>
      <c r="M11" s="4">
        <v>0.5173</v>
      </c>
      <c r="N11" s="4">
        <v>-0.0367</v>
      </c>
      <c r="O11" s="3" t="s">
        <v>80</v>
      </c>
      <c r="P11" s="5">
        <v>123</v>
      </c>
      <c r="Q11" s="5">
        <v>166.27274</v>
      </c>
      <c r="R11" s="5">
        <v>165</v>
      </c>
      <c r="S11" s="5">
        <v>195</v>
      </c>
      <c r="T11" s="7">
        <v>6.7</v>
      </c>
      <c r="U11" s="7">
        <v>10.60568</v>
      </c>
      <c r="V11" s="7">
        <v>10.21653</v>
      </c>
    </row>
    <row r="12" spans="1:22" ht="18" customHeight="1">
      <c r="A12" s="3" t="s">
        <v>81</v>
      </c>
      <c r="B12" s="4">
        <v>0.02790108</v>
      </c>
      <c r="C12" s="4">
        <v>0.5553166915159016</v>
      </c>
      <c r="D12" s="4">
        <v>-0.3795723021392269</v>
      </c>
      <c r="E12" s="4">
        <v>-0.0249266908722684</v>
      </c>
      <c r="F12" s="4">
        <v>-0.02350075380173977</v>
      </c>
      <c r="G12" s="4">
        <v>0.2570404661005228</v>
      </c>
      <c r="H12" s="15"/>
      <c r="I12" s="6">
        <v>926.780029296875</v>
      </c>
      <c r="J12" s="7">
        <v>46.10846</v>
      </c>
      <c r="K12" s="7">
        <v>31.624695</v>
      </c>
      <c r="L12" s="4">
        <v>0.6163689392974445</v>
      </c>
      <c r="M12" s="4">
        <v>0.2733</v>
      </c>
      <c r="N12" s="4">
        <v>0.2125</v>
      </c>
      <c r="O12" s="3" t="s">
        <v>81</v>
      </c>
      <c r="P12" s="5">
        <v>575</v>
      </c>
      <c r="Q12" s="5">
        <v>903.6784699999999</v>
      </c>
      <c r="R12" s="5">
        <v>905</v>
      </c>
      <c r="S12" s="5">
        <v>1165</v>
      </c>
      <c r="T12" s="7">
        <v>18.81</v>
      </c>
      <c r="U12" s="7">
        <v>24.26972</v>
      </c>
      <c r="V12" s="7">
        <v>29.42789</v>
      </c>
    </row>
    <row r="13" spans="1:22" ht="18" customHeight="1">
      <c r="A13" s="3" t="s">
        <v>82</v>
      </c>
      <c r="B13" s="4">
        <v>0.02367993</v>
      </c>
      <c r="C13" s="4">
        <v>4.747965420801981</v>
      </c>
      <c r="D13" s="4">
        <v>-0.3679166952475005</v>
      </c>
      <c r="E13" s="4">
        <v>-0.1156867600692174</v>
      </c>
      <c r="F13" s="4">
        <v>-0.1466875385841256</v>
      </c>
      <c r="G13" s="4">
        <v>0.264166609504999</v>
      </c>
      <c r="H13" s="15"/>
      <c r="I13" s="6">
        <v>1582.069946289062</v>
      </c>
      <c r="J13" s="7">
        <v>54.117046</v>
      </c>
      <c r="K13" s="7">
        <v>9.342592</v>
      </c>
      <c r="L13" s="4">
        <v>5.59388902452257</v>
      </c>
      <c r="M13" s="4">
        <v>0.205815</v>
      </c>
      <c r="N13" s="4">
        <v>0.01623</v>
      </c>
      <c r="O13" s="3" t="s">
        <v>82</v>
      </c>
      <c r="P13" s="5">
        <v>1000</v>
      </c>
      <c r="Q13" s="5">
        <v>1399.0454</v>
      </c>
      <c r="R13" s="5">
        <v>1350</v>
      </c>
      <c r="S13" s="5">
        <v>2000</v>
      </c>
      <c r="T13" s="7">
        <v>-11.32</v>
      </c>
      <c r="U13" s="7">
        <v>64.52876000000001</v>
      </c>
      <c r="V13" s="7">
        <v>169.2571</v>
      </c>
    </row>
    <row r="14" spans="1:22" ht="18" customHeight="1">
      <c r="A14" s="3" t="s">
        <v>83</v>
      </c>
      <c r="B14" s="4">
        <v>0.01792911</v>
      </c>
      <c r="C14" s="4">
        <v>0.6587031690266494</v>
      </c>
      <c r="D14" s="4">
        <v>-0.3712210033062323</v>
      </c>
      <c r="E14" s="4">
        <v>-0.0133057385787505</v>
      </c>
      <c r="F14" s="4">
        <v>-0.0006905231116907107</v>
      </c>
      <c r="G14" s="4">
        <v>0.2351016006484723</v>
      </c>
      <c r="H14" s="15"/>
      <c r="I14" s="6">
        <v>445.3074951171875</v>
      </c>
      <c r="J14" s="7">
        <v>45.684105</v>
      </c>
      <c r="K14" s="7">
        <v>30.944345</v>
      </c>
      <c r="L14" s="4">
        <v>0.5839538623588496</v>
      </c>
      <c r="M14" s="4">
        <v>0.17959999</v>
      </c>
      <c r="N14" s="4">
        <v>0.2953</v>
      </c>
      <c r="O14" s="3" t="s">
        <v>83</v>
      </c>
      <c r="P14" s="5">
        <v>280</v>
      </c>
      <c r="Q14" s="5">
        <v>439.38235</v>
      </c>
      <c r="R14" s="5">
        <v>445</v>
      </c>
      <c r="S14" s="5">
        <v>550</v>
      </c>
      <c r="T14" s="7">
        <v>8.66</v>
      </c>
      <c r="U14" s="7">
        <v>11.11229</v>
      </c>
      <c r="V14" s="7">
        <v>14.39423</v>
      </c>
    </row>
    <row r="15" spans="1:22" ht="18" customHeight="1">
      <c r="A15" s="3" t="s">
        <v>84</v>
      </c>
      <c r="B15" s="4">
        <v>0.01749722</v>
      </c>
      <c r="C15" s="4">
        <v>1.917579587875613</v>
      </c>
      <c r="D15" s="4">
        <v>-0.3492226665145878</v>
      </c>
      <c r="E15" s="4">
        <v>-0.05075528485829506</v>
      </c>
      <c r="F15" s="4">
        <v>-0.07935903831696722</v>
      </c>
      <c r="G15" s="4">
        <v>0.1940868504319491</v>
      </c>
      <c r="H15" s="15"/>
      <c r="I15" s="6">
        <v>837.4600219726562</v>
      </c>
      <c r="J15" s="7">
        <v>79.2299</v>
      </c>
      <c r="K15" s="7">
        <v>31.87525</v>
      </c>
      <c r="L15" s="4">
        <v>2.24961241093072</v>
      </c>
      <c r="M15" s="4">
        <v>0.8376</v>
      </c>
      <c r="N15" s="4">
        <v>0.7651</v>
      </c>
      <c r="O15" s="3" t="s">
        <v>84</v>
      </c>
      <c r="P15" s="5">
        <v>545</v>
      </c>
      <c r="Q15" s="5">
        <v>794.9545000000001</v>
      </c>
      <c r="R15" s="5">
        <v>771</v>
      </c>
      <c r="S15" s="5">
        <v>1000</v>
      </c>
      <c r="T15" s="7">
        <v>1.58</v>
      </c>
      <c r="U15" s="7">
        <v>14.88438</v>
      </c>
      <c r="V15" s="7">
        <v>26.27305</v>
      </c>
    </row>
    <row r="16" spans="1:22" ht="18" customHeight="1">
      <c r="A16" s="3" t="s">
        <v>85</v>
      </c>
      <c r="B16" s="4">
        <v>0.01692165</v>
      </c>
      <c r="C16" s="4">
        <v>0.2935311207505296</v>
      </c>
      <c r="D16" s="4">
        <v>-0.2333640131222776</v>
      </c>
      <c r="E16" s="4">
        <v>-0.08469234054971253</v>
      </c>
      <c r="F16" s="4">
        <v>-0.08003681574673316</v>
      </c>
      <c r="G16" s="4">
        <v>0.1243994474206596</v>
      </c>
      <c r="H16" s="15"/>
      <c r="I16" s="6">
        <v>97.83000183105469</v>
      </c>
      <c r="J16" s="7">
        <v>35.18705</v>
      </c>
      <c r="K16" s="7">
        <v>21.681982</v>
      </c>
      <c r="L16" s="4">
        <v>0.3369957025476586</v>
      </c>
      <c r="M16" s="4">
        <v>0.091800004</v>
      </c>
      <c r="N16" s="4">
        <v>0.08459999999999999</v>
      </c>
      <c r="O16" s="3" t="s">
        <v>85</v>
      </c>
      <c r="P16" s="5">
        <v>75</v>
      </c>
      <c r="Q16" s="5">
        <v>89.54455</v>
      </c>
      <c r="R16" s="5">
        <v>90</v>
      </c>
      <c r="S16" s="5">
        <v>110</v>
      </c>
      <c r="T16" s="7">
        <v>2.61</v>
      </c>
      <c r="U16" s="7">
        <v>4.15994</v>
      </c>
      <c r="V16" s="7">
        <v>4.51172</v>
      </c>
    </row>
    <row r="17" spans="1:22" ht="18" customHeight="1">
      <c r="A17" s="3" t="s">
        <v>86</v>
      </c>
      <c r="B17" s="4">
        <v>0.0166925</v>
      </c>
      <c r="C17" s="4">
        <v>1.763628993441517</v>
      </c>
      <c r="D17" s="4">
        <v>-0.3056693825841468</v>
      </c>
      <c r="E17" s="4">
        <v>-0.04398037743773942</v>
      </c>
      <c r="F17" s="4">
        <v>-0.03565192025575947</v>
      </c>
      <c r="G17" s="4">
        <v>0.2729394652623975</v>
      </c>
      <c r="H17" s="15"/>
      <c r="I17" s="6">
        <v>518.4849853515625</v>
      </c>
      <c r="J17" s="7">
        <v>31.047003</v>
      </c>
      <c r="K17" s="7">
        <v>29.767433</v>
      </c>
      <c r="L17" s="4">
        <v>2.697874632899181</v>
      </c>
      <c r="M17" s="4">
        <v>1.0124</v>
      </c>
      <c r="N17" s="4">
        <v>0.7556</v>
      </c>
      <c r="O17" s="3" t="s">
        <v>86</v>
      </c>
      <c r="P17" s="5">
        <v>360</v>
      </c>
      <c r="Q17" s="5">
        <v>495.68182</v>
      </c>
      <c r="R17" s="5">
        <v>500</v>
      </c>
      <c r="S17" s="5">
        <v>660</v>
      </c>
      <c r="T17" s="7">
        <v>5.12</v>
      </c>
      <c r="U17" s="7">
        <v>9.92107</v>
      </c>
      <c r="V17" s="7">
        <v>17.41786</v>
      </c>
    </row>
    <row r="18" spans="1:22" ht="18" customHeight="1">
      <c r="A18" s="3" t="s">
        <v>87</v>
      </c>
      <c r="B18" s="4">
        <v>0.01568233</v>
      </c>
      <c r="C18" s="4">
        <v>-0.06083192759099343</v>
      </c>
      <c r="D18" s="4">
        <v>-0.002659533994128216</v>
      </c>
      <c r="E18" s="4">
        <v>0.1650598877058591</v>
      </c>
      <c r="F18" s="4">
        <v>0.1718750475568993</v>
      </c>
      <c r="G18" s="4">
        <v>0.3464096291079268</v>
      </c>
      <c r="H18" s="15"/>
      <c r="I18" s="6">
        <v>300.7999877929688</v>
      </c>
      <c r="J18" s="7">
        <v>37.36646</v>
      </c>
      <c r="K18" s="7">
        <v>34.681347</v>
      </c>
      <c r="L18" s="4">
        <v>0.8375069392978935</v>
      </c>
      <c r="M18" s="4">
        <v>0.18620001</v>
      </c>
      <c r="N18" s="4">
        <v>0.1478</v>
      </c>
      <c r="O18" s="3" t="s">
        <v>87</v>
      </c>
      <c r="P18" s="5">
        <v>300</v>
      </c>
      <c r="Q18" s="5">
        <v>350.45</v>
      </c>
      <c r="R18" s="5">
        <v>352.5</v>
      </c>
      <c r="S18" s="5">
        <v>405</v>
      </c>
      <c r="T18" s="7">
        <v>8.140000000000001</v>
      </c>
      <c r="U18" s="7">
        <v>7.55623</v>
      </c>
      <c r="V18" s="7">
        <v>9.20007</v>
      </c>
    </row>
    <row r="19" spans="1:22" ht="18" customHeight="1">
      <c r="A19" s="3" t="s">
        <v>88</v>
      </c>
      <c r="B19" s="4">
        <v>0.01490566</v>
      </c>
      <c r="C19" s="4">
        <v>0.5939977862780719</v>
      </c>
      <c r="D19" s="4">
        <v>-0.22717818349896</v>
      </c>
      <c r="E19" s="4">
        <v>0.115375548879131</v>
      </c>
      <c r="F19" s="4">
        <v>0.1555350127108852</v>
      </c>
      <c r="G19" s="4">
        <v>0.3163854864802405</v>
      </c>
      <c r="H19" s="15"/>
      <c r="I19" s="6">
        <v>1081.75</v>
      </c>
      <c r="J19" s="7">
        <v>31.61163</v>
      </c>
      <c r="K19" s="7">
        <v>44.17623</v>
      </c>
      <c r="L19" s="4">
        <v>0.9313911801199608</v>
      </c>
      <c r="M19" s="4">
        <v>-0.0888</v>
      </c>
      <c r="N19" s="4">
        <v>0.612</v>
      </c>
      <c r="O19" s="3" t="s">
        <v>88</v>
      </c>
      <c r="P19" s="5">
        <v>836</v>
      </c>
      <c r="Q19" s="5">
        <v>1206.5575</v>
      </c>
      <c r="R19" s="5">
        <v>1250</v>
      </c>
      <c r="S19" s="5">
        <v>1424</v>
      </c>
      <c r="T19" s="7">
        <v>17.69</v>
      </c>
      <c r="U19" s="7">
        <v>30.9257</v>
      </c>
      <c r="V19" s="7">
        <v>24.27232</v>
      </c>
    </row>
    <row r="20" spans="1:22" ht="18" customHeight="1">
      <c r="A20" s="3" t="s">
        <v>89</v>
      </c>
      <c r="B20" s="4">
        <v>0.01429881</v>
      </c>
      <c r="C20" s="4">
        <v>-0.03833850925583138</v>
      </c>
      <c r="D20" s="4">
        <v>0.002925164388525303</v>
      </c>
      <c r="E20" s="4">
        <v>0.2043738272688984</v>
      </c>
      <c r="F20" s="4">
        <v>0.2397269393135939</v>
      </c>
      <c r="G20" s="4">
        <v>0.3483771654556842</v>
      </c>
      <c r="H20" s="15"/>
      <c r="I20" s="6">
        <v>179.4750061035156</v>
      </c>
      <c r="J20" s="7">
        <v>33.60955</v>
      </c>
      <c r="K20" s="7">
        <v>23.773098</v>
      </c>
      <c r="L20" s="4">
        <v>0.6103721051779736</v>
      </c>
      <c r="M20" s="4">
        <v>0.0979</v>
      </c>
      <c r="N20" s="4">
        <v>0.09320000000000001</v>
      </c>
      <c r="O20" s="3" t="s">
        <v>89</v>
      </c>
      <c r="P20" s="5">
        <v>180</v>
      </c>
      <c r="Q20" s="5">
        <v>216.155</v>
      </c>
      <c r="R20" s="5">
        <v>222.5</v>
      </c>
      <c r="S20" s="5">
        <v>242</v>
      </c>
      <c r="T20" s="7">
        <v>4.96</v>
      </c>
      <c r="U20" s="7">
        <v>6.90587</v>
      </c>
      <c r="V20" s="7">
        <v>7.5495</v>
      </c>
    </row>
    <row r="21" spans="1:22" ht="18" customHeight="1">
      <c r="A21" s="3" t="s">
        <v>90</v>
      </c>
      <c r="B21" s="4">
        <v>0.01411384</v>
      </c>
      <c r="C21" s="4">
        <v>0.4539139067963478</v>
      </c>
      <c r="D21" s="4">
        <v>-0.2434742663307262</v>
      </c>
      <c r="E21" s="4">
        <v>-0.008056859325844656</v>
      </c>
      <c r="F21" s="4">
        <v>0.01320410759277735</v>
      </c>
      <c r="G21" s="4">
        <v>0.1347886005039107</v>
      </c>
      <c r="H21" s="15"/>
      <c r="I21" s="6">
        <v>1850.56494140625</v>
      </c>
      <c r="J21" s="7">
        <v>52.379417</v>
      </c>
      <c r="K21" s="7">
        <v>37.229786</v>
      </c>
      <c r="L21" s="4">
        <v>0.9249566469217452</v>
      </c>
      <c r="M21" s="4">
        <v>0.11399999</v>
      </c>
      <c r="N21" s="4">
        <v>0.34080002</v>
      </c>
      <c r="O21" s="3" t="s">
        <v>90</v>
      </c>
      <c r="P21" s="5">
        <v>1400</v>
      </c>
      <c r="Q21" s="5">
        <v>1835.6552</v>
      </c>
      <c r="R21" s="5">
        <v>1875</v>
      </c>
      <c r="S21" s="5">
        <v>2100</v>
      </c>
      <c r="T21" s="7">
        <v>20.28</v>
      </c>
      <c r="U21" s="7">
        <v>37.0733</v>
      </c>
      <c r="V21" s="7">
        <v>49.70657</v>
      </c>
    </row>
    <row r="22" spans="1:22" ht="18" customHeight="1">
      <c r="A22" s="3" t="s">
        <v>91</v>
      </c>
      <c r="B22" s="4">
        <v>0.01360697</v>
      </c>
      <c r="C22" s="4">
        <v>0.04177512717820497</v>
      </c>
      <c r="D22" s="4">
        <v>-0.2295920960325118</v>
      </c>
      <c r="E22" s="4">
        <v>5.278054738599991E-05</v>
      </c>
      <c r="F22" s="4">
        <v>0.01419451467500843</v>
      </c>
      <c r="G22" s="4">
        <v>0.1081209577614555</v>
      </c>
      <c r="H22" s="15"/>
      <c r="I22" s="6">
        <v>947.5499877929688</v>
      </c>
      <c r="J22" s="7">
        <v>17.29737</v>
      </c>
      <c r="K22" s="7">
        <v>14.491104</v>
      </c>
      <c r="L22" s="4">
        <v>0.559974981409737</v>
      </c>
      <c r="M22" s="4">
        <v>0.1532</v>
      </c>
      <c r="N22" s="4">
        <v>0.104899995</v>
      </c>
      <c r="O22" s="3" t="s">
        <v>91</v>
      </c>
      <c r="P22" s="5">
        <v>730</v>
      </c>
      <c r="Q22" s="5">
        <v>947.6</v>
      </c>
      <c r="R22" s="5">
        <v>961</v>
      </c>
      <c r="S22" s="5">
        <v>1050</v>
      </c>
      <c r="T22" s="7">
        <v>51.32</v>
      </c>
      <c r="U22" s="7">
        <v>59.36404</v>
      </c>
      <c r="V22" s="7">
        <v>65.39888999999999</v>
      </c>
    </row>
    <row r="23" spans="1:22" ht="18" customHeight="1">
      <c r="A23" s="3" t="s">
        <v>92</v>
      </c>
      <c r="B23" s="4">
        <v>0.01303474</v>
      </c>
      <c r="C23" s="4">
        <v>0.1319744498663622</v>
      </c>
      <c r="D23" s="4">
        <v>-0.06588827190083701</v>
      </c>
      <c r="E23" s="4">
        <v>0.06795342497486567</v>
      </c>
      <c r="F23" s="4">
        <v>0.09813729940228977</v>
      </c>
      <c r="G23" s="4">
        <v>0.1676396601239538</v>
      </c>
      <c r="H23" s="15"/>
      <c r="I23" s="6">
        <v>179.8500061035156</v>
      </c>
      <c r="J23" s="7">
        <v>25.330988</v>
      </c>
      <c r="K23" s="7">
        <v>19.661926</v>
      </c>
      <c r="L23" s="4">
        <v>0.3713219797565135</v>
      </c>
      <c r="M23" s="4">
        <v>0.115600005</v>
      </c>
      <c r="N23" s="4">
        <v>0.08749999999999999</v>
      </c>
      <c r="O23" s="3" t="s">
        <v>92</v>
      </c>
      <c r="P23" s="5">
        <v>168</v>
      </c>
      <c r="Q23" s="5">
        <v>192.07143</v>
      </c>
      <c r="R23" s="5">
        <v>197.5</v>
      </c>
      <c r="S23" s="5">
        <v>210</v>
      </c>
      <c r="T23" s="7">
        <v>7.26</v>
      </c>
      <c r="U23" s="7">
        <v>8.411300000000001</v>
      </c>
      <c r="V23" s="7">
        <v>9.147119999999999</v>
      </c>
    </row>
    <row r="24" spans="1:22" ht="18" customHeight="1">
      <c r="A24" s="3" t="s">
        <v>93</v>
      </c>
      <c r="B24" s="4">
        <v>0.01277876</v>
      </c>
      <c r="C24" s="4">
        <v>-0.19092402939294</v>
      </c>
      <c r="D24" s="4">
        <v>-0.4845797031236974</v>
      </c>
      <c r="E24" s="4">
        <v>0.3364603105204156</v>
      </c>
      <c r="F24" s="4">
        <v>0.3989979486642499</v>
      </c>
      <c r="G24" s="4">
        <v>0.8776025100493881</v>
      </c>
      <c r="H24" s="15"/>
      <c r="I24" s="6">
        <v>135.8114929199219</v>
      </c>
      <c r="J24" s="7">
        <v>150.90166</v>
      </c>
      <c r="K24" s="7">
        <v>65.96634</v>
      </c>
      <c r="L24" s="4">
        <v>1.364011094939334</v>
      </c>
      <c r="M24" s="4">
        <v>0.9482</v>
      </c>
      <c r="N24" s="4">
        <v>0.409</v>
      </c>
      <c r="O24" s="3" t="s">
        <v>93</v>
      </c>
      <c r="P24" s="5">
        <v>70</v>
      </c>
      <c r="Q24" s="5">
        <v>181.50667</v>
      </c>
      <c r="R24" s="5">
        <v>190</v>
      </c>
      <c r="S24" s="5">
        <v>255</v>
      </c>
      <c r="T24" s="7">
        <v>0.63</v>
      </c>
      <c r="U24" s="7">
        <v>1.46118</v>
      </c>
      <c r="V24" s="7">
        <v>2.0588</v>
      </c>
    </row>
    <row r="25" spans="1:22" ht="18" customHeight="1">
      <c r="A25" s="3" t="s">
        <v>94</v>
      </c>
      <c r="B25" s="4">
        <v>0.01255656</v>
      </c>
      <c r="C25" s="4">
        <v>0.1395091126436292</v>
      </c>
      <c r="D25" s="4">
        <v>-0.08750397708714053</v>
      </c>
      <c r="E25" s="4">
        <v>0.09682494948701903</v>
      </c>
      <c r="F25" s="4">
        <v>0.1121764358842641</v>
      </c>
      <c r="G25" s="4">
        <v>0.1760946218546242</v>
      </c>
      <c r="H25" s="15"/>
      <c r="I25" s="6">
        <v>78.22499847412109</v>
      </c>
      <c r="J25" s="7">
        <v>24.599056</v>
      </c>
      <c r="K25" s="7">
        <v>22.464504</v>
      </c>
      <c r="L25" s="4">
        <v>0.1638515568984764</v>
      </c>
      <c r="M25" s="4">
        <v>0.088199995</v>
      </c>
      <c r="N25" s="4">
        <v>0.066599995</v>
      </c>
      <c r="O25" s="3" t="s">
        <v>94</v>
      </c>
      <c r="P25" s="5">
        <v>71.38</v>
      </c>
      <c r="Q25" s="5">
        <v>85.79913000000001</v>
      </c>
      <c r="R25" s="5">
        <v>87</v>
      </c>
      <c r="S25" s="5">
        <v>92</v>
      </c>
      <c r="T25" s="7">
        <v>3.04</v>
      </c>
      <c r="U25" s="7">
        <v>3.26469</v>
      </c>
      <c r="V25" s="7">
        <v>3.48216</v>
      </c>
    </row>
    <row r="26" spans="1:22" ht="18" customHeight="1">
      <c r="A26" s="3" t="s">
        <v>95</v>
      </c>
      <c r="B26" s="4">
        <v>0.01214491</v>
      </c>
      <c r="C26" s="4">
        <v>0.1962512665864671</v>
      </c>
      <c r="D26" s="4">
        <v>-0.4041707863125475</v>
      </c>
      <c r="E26" s="4">
        <v>0.1917246306208702</v>
      </c>
      <c r="F26" s="4">
        <v>0.2206223474847115</v>
      </c>
      <c r="G26" s="4">
        <v>0.4564714112359949</v>
      </c>
      <c r="H26" s="15"/>
      <c r="I26" s="6">
        <v>120.8399963378906</v>
      </c>
      <c r="J26" s="7">
        <v>15.673151</v>
      </c>
      <c r="K26" s="7">
        <v>10.658453</v>
      </c>
      <c r="L26" s="4">
        <v>1.646413926495898</v>
      </c>
      <c r="M26" s="4">
        <v>0.4948</v>
      </c>
      <c r="N26" s="4">
        <v>0.1008</v>
      </c>
      <c r="O26" s="3" t="s">
        <v>95</v>
      </c>
      <c r="P26" s="5">
        <v>72</v>
      </c>
      <c r="Q26" s="5">
        <v>144.008</v>
      </c>
      <c r="R26" s="5">
        <v>147.5</v>
      </c>
      <c r="S26" s="5">
        <v>176</v>
      </c>
      <c r="T26" s="7">
        <v>6.39</v>
      </c>
      <c r="U26" s="7">
        <v>10.29926</v>
      </c>
      <c r="V26" s="7">
        <v>11.33748</v>
      </c>
    </row>
    <row r="27" spans="1:22" ht="18" customHeight="1">
      <c r="A27" s="3" t="s">
        <v>96</v>
      </c>
      <c r="B27" s="4">
        <v>0.0116837</v>
      </c>
      <c r="C27" s="4">
        <v>-0.1221679444480801</v>
      </c>
      <c r="D27" s="4">
        <v>0.1029411627209587</v>
      </c>
      <c r="E27" s="4">
        <v>0.4846585599231275</v>
      </c>
      <c r="F27" s="4">
        <v>0.4705882169612783</v>
      </c>
      <c r="G27" s="4">
        <v>0.7565359258148601</v>
      </c>
      <c r="H27" s="15"/>
      <c r="I27" s="6">
        <v>122.4000015258789</v>
      </c>
      <c r="J27" s="7">
        <v>35.172413</v>
      </c>
      <c r="K27" s="7">
        <v>21.749908</v>
      </c>
      <c r="L27" s="4">
        <v>0.9733383609668997</v>
      </c>
      <c r="M27" s="4">
        <v>0.4411</v>
      </c>
      <c r="N27" s="4">
        <v>0.1692</v>
      </c>
      <c r="O27" s="3" t="s">
        <v>96</v>
      </c>
      <c r="P27" s="5">
        <v>135</v>
      </c>
      <c r="Q27" s="5">
        <v>181.72221</v>
      </c>
      <c r="R27" s="5">
        <v>180</v>
      </c>
      <c r="S27" s="5">
        <v>215</v>
      </c>
      <c r="T27" s="7">
        <v>3.34</v>
      </c>
      <c r="U27" s="7">
        <v>4.8133</v>
      </c>
      <c r="V27" s="7">
        <v>5.62761</v>
      </c>
    </row>
    <row r="28" spans="1:22" ht="18" customHeight="1">
      <c r="A28" s="3" t="s">
        <v>97</v>
      </c>
      <c r="B28" s="4">
        <v>0.01025418</v>
      </c>
      <c r="C28" s="4">
        <v>1.29957129217129</v>
      </c>
      <c r="D28" s="4">
        <v>-0.2840451885590221</v>
      </c>
      <c r="E28" s="4">
        <v>-0.05980876627426801</v>
      </c>
      <c r="F28" s="4">
        <v>-0.08703748876653827</v>
      </c>
      <c r="G28" s="4">
        <v>0.1051651451773485</v>
      </c>
      <c r="H28" s="15"/>
      <c r="I28" s="6">
        <v>208.1136932373047</v>
      </c>
      <c r="J28" s="7">
        <v>100.054665</v>
      </c>
      <c r="K28" s="7">
        <v>49.46984</v>
      </c>
      <c r="L28" s="4">
        <v>0.9101711549295493</v>
      </c>
      <c r="M28" s="4">
        <v>0.2682</v>
      </c>
      <c r="N28" s="4">
        <v>0.3164</v>
      </c>
      <c r="O28" s="3" t="s">
        <v>97</v>
      </c>
      <c r="P28" s="5">
        <v>149</v>
      </c>
      <c r="Q28" s="5">
        <v>195.66667</v>
      </c>
      <c r="R28" s="5">
        <v>190</v>
      </c>
      <c r="S28" s="5">
        <v>230</v>
      </c>
      <c r="T28" s="7">
        <v>1.83</v>
      </c>
      <c r="U28" s="7">
        <v>3.19577</v>
      </c>
      <c r="V28" s="7">
        <v>4.20688</v>
      </c>
    </row>
    <row r="29" spans="1:22" ht="18" customHeight="1">
      <c r="A29" s="3" t="s">
        <v>98</v>
      </c>
      <c r="B29" s="4">
        <v>0.01018537</v>
      </c>
      <c r="C29" s="4">
        <v>0.07761059432442075</v>
      </c>
      <c r="D29" s="4">
        <v>-0.01302804189498374</v>
      </c>
      <c r="E29" s="4">
        <v>0.1551161329445925</v>
      </c>
      <c r="F29" s="4">
        <v>0.1606790227314991</v>
      </c>
      <c r="G29" s="4">
        <v>0.3422818630228222</v>
      </c>
      <c r="H29" s="15"/>
      <c r="I29" s="6">
        <v>126.6500015258789</v>
      </c>
      <c r="J29" s="7">
        <v>15.655129</v>
      </c>
      <c r="K29" s="7">
        <v>10.144433</v>
      </c>
      <c r="L29" s="4">
        <v>0.7147180214688411</v>
      </c>
      <c r="M29" s="4">
        <v>0.4332</v>
      </c>
      <c r="N29" s="4">
        <v>0.15689999</v>
      </c>
      <c r="O29" s="3" t="s">
        <v>98</v>
      </c>
      <c r="P29" s="5">
        <v>125</v>
      </c>
      <c r="Q29" s="5">
        <v>146.29546</v>
      </c>
      <c r="R29" s="5">
        <v>147</v>
      </c>
      <c r="S29" s="5">
        <v>170</v>
      </c>
      <c r="T29" s="7">
        <v>6.99</v>
      </c>
      <c r="U29" s="7">
        <v>10.79111</v>
      </c>
      <c r="V29" s="7">
        <v>12.48468</v>
      </c>
    </row>
    <row r="30" spans="1:22" ht="18" customHeight="1">
      <c r="A30" s="3" t="s">
        <v>99</v>
      </c>
      <c r="B30" s="4">
        <v>0.00939535</v>
      </c>
      <c r="C30" s="4">
        <v>0.06268479266502558</v>
      </c>
      <c r="D30" s="4">
        <v>-0.137096968543026</v>
      </c>
      <c r="E30" s="4">
        <v>0.06312634413244234</v>
      </c>
      <c r="F30" s="4">
        <v>0.07209164514351318</v>
      </c>
      <c r="G30" s="4">
        <v>0.2028345286976001</v>
      </c>
      <c r="H30" s="15"/>
      <c r="I30" s="6">
        <v>191.2149963378906</v>
      </c>
      <c r="J30" s="7">
        <v>17.320198</v>
      </c>
      <c r="K30" s="7">
        <v>15.052862</v>
      </c>
      <c r="L30" s="4">
        <v>0.4625824054921766</v>
      </c>
      <c r="M30" s="4">
        <v>0.16059999</v>
      </c>
      <c r="N30" s="4">
        <v>0.07199999999999999</v>
      </c>
      <c r="O30" s="3" t="s">
        <v>99</v>
      </c>
      <c r="P30" s="5">
        <v>165</v>
      </c>
      <c r="Q30" s="5">
        <v>203.2857</v>
      </c>
      <c r="R30" s="5">
        <v>205</v>
      </c>
      <c r="S30" s="5">
        <v>230</v>
      </c>
      <c r="T30" s="7">
        <v>10.21</v>
      </c>
      <c r="U30" s="7">
        <v>11.86895</v>
      </c>
      <c r="V30" s="7">
        <v>12.74124</v>
      </c>
    </row>
    <row r="31" spans="1:22" ht="18" customHeight="1">
      <c r="A31" s="3" t="s">
        <v>100</v>
      </c>
      <c r="B31" s="4">
        <v>0.00857168</v>
      </c>
      <c r="C31" s="4">
        <v>0.5305500589694778</v>
      </c>
      <c r="D31" s="4">
        <v>-0.2936923276677335</v>
      </c>
      <c r="E31" s="4">
        <v>-0.05573344203771924</v>
      </c>
      <c r="F31" s="4">
        <v>-0.04229468158336736</v>
      </c>
      <c r="G31" s="4">
        <v>0.1372750656197512</v>
      </c>
      <c r="H31" s="15"/>
      <c r="I31" s="6">
        <v>417.6650085449219</v>
      </c>
      <c r="J31" s="7">
        <v>76.49542</v>
      </c>
      <c r="K31" s="7">
        <v>31.760754</v>
      </c>
      <c r="L31" s="4">
        <v>0.3043408740641875</v>
      </c>
      <c r="M31" s="4">
        <v>0.4721</v>
      </c>
      <c r="N31" s="4">
        <v>0.1467</v>
      </c>
      <c r="O31" s="3" t="s">
        <v>100</v>
      </c>
      <c r="P31" s="5">
        <v>295</v>
      </c>
      <c r="Q31" s="5">
        <v>394.3871</v>
      </c>
      <c r="R31" s="5">
        <v>400</v>
      </c>
      <c r="S31" s="5">
        <v>475</v>
      </c>
      <c r="T31" s="7">
        <v>4.56</v>
      </c>
      <c r="U31" s="7">
        <v>11.46783</v>
      </c>
      <c r="V31" s="7">
        <v>13.15035</v>
      </c>
    </row>
    <row r="32" spans="1:22" ht="18" customHeight="1">
      <c r="A32" s="3" t="s">
        <v>101</v>
      </c>
      <c r="B32" s="4">
        <v>0.008433079999999999</v>
      </c>
      <c r="C32" s="4">
        <v>0.1004163146058539</v>
      </c>
      <c r="D32" s="4">
        <v>-0.08308589143076539</v>
      </c>
      <c r="E32" s="4">
        <v>0.1872106173792061</v>
      </c>
      <c r="F32" s="4">
        <v>0.2062681510275586</v>
      </c>
      <c r="G32" s="4">
        <v>0.352824094610346</v>
      </c>
      <c r="H32" s="15"/>
      <c r="I32" s="6">
        <v>133.0549926757812</v>
      </c>
      <c r="J32" s="7">
        <v>18.10272</v>
      </c>
      <c r="K32" s="7">
        <v>13.757972</v>
      </c>
      <c r="L32" s="4">
        <v>0.3732192472678635</v>
      </c>
      <c r="M32" s="4">
        <v>-1.1011</v>
      </c>
      <c r="N32" s="4">
        <v>0.127563</v>
      </c>
      <c r="O32" s="3" t="s">
        <v>101</v>
      </c>
      <c r="P32" s="5">
        <v>122</v>
      </c>
      <c r="Q32" s="5">
        <v>157.9643</v>
      </c>
      <c r="R32" s="5">
        <v>160.5</v>
      </c>
      <c r="S32" s="5">
        <v>180</v>
      </c>
      <c r="T32" s="7">
        <v>6.78</v>
      </c>
      <c r="U32" s="7">
        <v>-0.82383</v>
      </c>
      <c r="V32" s="7">
        <v>9.68516</v>
      </c>
    </row>
    <row r="33" spans="1:22" ht="18" customHeight="1">
      <c r="A33" s="3" t="s">
        <v>102</v>
      </c>
      <c r="B33" s="4">
        <v>0.008314719999999999</v>
      </c>
      <c r="C33" s="4">
        <v>0.145592986885223</v>
      </c>
      <c r="D33" s="4">
        <v>-0.1002811364037107</v>
      </c>
      <c r="E33" s="4">
        <v>0.09161202747268526</v>
      </c>
      <c r="F33" s="4">
        <v>0.1035614186298237</v>
      </c>
      <c r="G33" s="4">
        <v>0.2183692944533084</v>
      </c>
      <c r="H33" s="15"/>
      <c r="I33" s="6">
        <v>213.3999938964844</v>
      </c>
      <c r="J33" s="7">
        <v>103.59223</v>
      </c>
      <c r="K33" s="7">
        <v>64.08408</v>
      </c>
      <c r="L33" s="4">
        <v>0.5143215288274265</v>
      </c>
      <c r="M33" s="4">
        <v>0.2188</v>
      </c>
      <c r="N33" s="4">
        <v>0.121199995</v>
      </c>
      <c r="O33" s="3" t="s">
        <v>102</v>
      </c>
      <c r="P33" s="5">
        <v>192</v>
      </c>
      <c r="Q33" s="5">
        <v>232.95</v>
      </c>
      <c r="R33" s="5">
        <v>235.5</v>
      </c>
      <c r="S33" s="5">
        <v>260</v>
      </c>
      <c r="T33" s="7">
        <v>1.39</v>
      </c>
      <c r="U33" s="7">
        <v>2.97</v>
      </c>
      <c r="V33" s="7">
        <v>3.33</v>
      </c>
    </row>
    <row r="34" spans="1:22" ht="18" customHeight="1">
      <c r="A34" s="3" t="s">
        <v>103</v>
      </c>
      <c r="B34" s="4">
        <v>0.006224309999999999</v>
      </c>
      <c r="C34" s="4">
        <v>1.378362905428249</v>
      </c>
      <c r="D34" s="4">
        <v>-0.5898977956756211</v>
      </c>
      <c r="E34" s="4">
        <v>-0.2978608547717393</v>
      </c>
      <c r="F34" s="4">
        <v>-0.3079525302026106</v>
      </c>
      <c r="G34" s="4">
        <v>0.1277810618920419</v>
      </c>
      <c r="H34" s="15"/>
      <c r="I34" s="6">
        <v>585.219970703125</v>
      </c>
      <c r="J34" s="7">
        <v>368.06287</v>
      </c>
      <c r="K34" s="7">
        <v>67.64046999999999</v>
      </c>
      <c r="L34" s="4">
        <v>1.809586750590009</v>
      </c>
      <c r="M34" s="4">
        <v>1.3639</v>
      </c>
      <c r="N34" s="4">
        <v>0.38639998</v>
      </c>
      <c r="O34" s="3" t="s">
        <v>103</v>
      </c>
      <c r="P34" s="5">
        <v>240</v>
      </c>
      <c r="Q34" s="5">
        <v>410.90585</v>
      </c>
      <c r="R34" s="5">
        <v>405</v>
      </c>
      <c r="S34" s="5">
        <v>660</v>
      </c>
      <c r="T34" s="7">
        <v>0.85</v>
      </c>
      <c r="U34" s="7">
        <v>6.24071</v>
      </c>
      <c r="V34" s="7">
        <v>8.65192</v>
      </c>
    </row>
    <row r="35" spans="1:22" ht="18" customHeight="1">
      <c r="A35" s="3" t="s">
        <v>104</v>
      </c>
      <c r="B35" s="4">
        <v>0.00602743</v>
      </c>
      <c r="C35" s="4">
        <v>0.2929343505105846</v>
      </c>
      <c r="D35" s="4">
        <v>-0.1223258757132765</v>
      </c>
      <c r="E35" s="4">
        <v>0.08256228482402039</v>
      </c>
      <c r="F35" s="4">
        <v>0.09709265535840439</v>
      </c>
      <c r="G35" s="4">
        <v>0.2433716760728584</v>
      </c>
      <c r="H35" s="15"/>
      <c r="I35" s="6">
        <v>273.4500122070312</v>
      </c>
      <c r="J35" s="7">
        <v>63.59302</v>
      </c>
      <c r="K35" s="7">
        <v>46.47373</v>
      </c>
      <c r="L35" s="4">
        <v>0.8554480876360224</v>
      </c>
      <c r="M35" s="4">
        <v>0.32599998</v>
      </c>
      <c r="N35" s="4">
        <v>0.177</v>
      </c>
      <c r="O35" s="3" t="s">
        <v>104</v>
      </c>
      <c r="P35" s="5">
        <v>240</v>
      </c>
      <c r="Q35" s="5">
        <v>296.02667</v>
      </c>
      <c r="R35" s="5">
        <v>300</v>
      </c>
      <c r="S35" s="5">
        <v>340</v>
      </c>
      <c r="T35" s="7">
        <v>3.71</v>
      </c>
      <c r="U35" s="7">
        <v>4.99896</v>
      </c>
      <c r="V35" s="7">
        <v>5.88397</v>
      </c>
    </row>
    <row r="36" spans="1:22" ht="18" customHeight="1">
      <c r="A36" s="3" t="s">
        <v>105</v>
      </c>
      <c r="B36" s="4">
        <v>0.005863070000000001</v>
      </c>
      <c r="C36" s="4">
        <v>-0.1291435568228911</v>
      </c>
      <c r="D36" s="4">
        <v>0.04735887790918447</v>
      </c>
      <c r="E36" s="4">
        <v>0.3114754645123701</v>
      </c>
      <c r="F36" s="4">
        <v>0.3376594364600998</v>
      </c>
      <c r="G36" s="4">
        <v>0.4913479674576431</v>
      </c>
      <c r="H36" s="15"/>
      <c r="I36" s="6">
        <v>87.83999633789062</v>
      </c>
      <c r="J36" s="7">
        <v>17.463219</v>
      </c>
      <c r="K36" s="7">
        <v>12.570443</v>
      </c>
      <c r="L36" s="4">
        <v>0.3696322045504763</v>
      </c>
      <c r="M36" s="4">
        <v>0.2368</v>
      </c>
      <c r="N36" s="4">
        <v>0.1601</v>
      </c>
      <c r="O36" s="3" t="s">
        <v>105</v>
      </c>
      <c r="P36" s="5">
        <v>92</v>
      </c>
      <c r="Q36" s="5">
        <v>115.2</v>
      </c>
      <c r="R36" s="5">
        <v>117.5</v>
      </c>
      <c r="S36" s="5">
        <v>131</v>
      </c>
      <c r="T36" s="7">
        <v>4.65</v>
      </c>
      <c r="U36" s="7">
        <v>6.02333</v>
      </c>
      <c r="V36" s="7">
        <v>6.98782</v>
      </c>
    </row>
    <row r="37" spans="1:22" ht="18" customHeight="1">
      <c r="A37" s="3" t="s">
        <v>106</v>
      </c>
      <c r="B37" s="4">
        <v>0.00556527</v>
      </c>
      <c r="C37" s="4">
        <v>0.3428803739716728</v>
      </c>
      <c r="D37" s="4">
        <v>-0.2557340550538124</v>
      </c>
      <c r="E37" s="4">
        <v>0.01745090695968088</v>
      </c>
      <c r="F37" s="4">
        <v>0.04197232292466269</v>
      </c>
      <c r="G37" s="4">
        <v>0.2094321605375549</v>
      </c>
      <c r="H37" s="15"/>
      <c r="I37" s="6">
        <v>698.6749877929688</v>
      </c>
      <c r="J37" s="7">
        <v>36.332554</v>
      </c>
      <c r="K37" s="7">
        <v>21.073015</v>
      </c>
      <c r="L37" s="4">
        <v>0.4976683805158437</v>
      </c>
      <c r="M37" s="4">
        <v>0.2189</v>
      </c>
      <c r="N37" s="4">
        <v>0.1438</v>
      </c>
      <c r="O37" s="3" t="s">
        <v>106</v>
      </c>
      <c r="P37" s="5">
        <v>520</v>
      </c>
      <c r="Q37" s="5">
        <v>710.8674999999999</v>
      </c>
      <c r="R37" s="5">
        <v>728</v>
      </c>
      <c r="S37" s="5">
        <v>845</v>
      </c>
      <c r="T37" s="7">
        <v>20.5</v>
      </c>
      <c r="U37" s="7">
        <v>28.29975</v>
      </c>
      <c r="V37" s="7">
        <v>32.00853</v>
      </c>
    </row>
    <row r="38" spans="1:22" ht="18" customHeight="1">
      <c r="A38" s="3" t="s">
        <v>107</v>
      </c>
      <c r="B38" s="4">
        <v>0.00527992</v>
      </c>
      <c r="C38" s="4">
        <v>0.7722049144842857</v>
      </c>
      <c r="D38" s="4">
        <v>-0.4608818348231406</v>
      </c>
      <c r="E38" s="4">
        <v>-0.04006057157048903</v>
      </c>
      <c r="F38" s="4">
        <v>0.02047366979905529</v>
      </c>
      <c r="G38" s="4">
        <v>0.1565368257722626</v>
      </c>
      <c r="H38" s="15"/>
      <c r="I38" s="6">
        <v>779.0499877929688</v>
      </c>
      <c r="J38" s="7">
        <v>106.71918</v>
      </c>
      <c r="K38" s="7">
        <v>47.48837</v>
      </c>
      <c r="L38" s="4">
        <v>0.338932404250841</v>
      </c>
      <c r="M38" s="4">
        <v>0.304</v>
      </c>
      <c r="N38" s="4">
        <v>0.1703</v>
      </c>
      <c r="O38" s="3" t="s">
        <v>107</v>
      </c>
      <c r="P38" s="5">
        <v>420</v>
      </c>
      <c r="Q38" s="5">
        <v>747.8407999999999</v>
      </c>
      <c r="R38" s="5">
        <v>795</v>
      </c>
      <c r="S38" s="5">
        <v>901</v>
      </c>
      <c r="T38" s="7">
        <v>6.8</v>
      </c>
      <c r="U38" s="7">
        <v>14.01758</v>
      </c>
      <c r="V38" s="7">
        <v>16.40507</v>
      </c>
    </row>
    <row r="39" spans="1:22" ht="18" customHeight="1">
      <c r="A39" s="3" t="s">
        <v>108</v>
      </c>
      <c r="B39" s="4">
        <v>0.005273750000000001</v>
      </c>
      <c r="C39" s="4">
        <v>1.031932631988853</v>
      </c>
      <c r="D39" s="4">
        <v>-0.06293082776184322</v>
      </c>
      <c r="E39" s="4">
        <v>-0.02309312263842001</v>
      </c>
      <c r="F39" s="4">
        <v>-0.01877573587627568</v>
      </c>
      <c r="G39" s="4">
        <v>0.005754870726817352</v>
      </c>
      <c r="H39" s="15"/>
      <c r="I39" s="6">
        <v>2038.27001953125</v>
      </c>
      <c r="J39" s="7">
        <v>58.97772</v>
      </c>
      <c r="K39" s="7">
        <v>38.90828</v>
      </c>
      <c r="L39" s="4">
        <v>1.185753095638221</v>
      </c>
      <c r="M39" s="4">
        <v>0.4903</v>
      </c>
      <c r="N39" s="4">
        <v>0.2172</v>
      </c>
      <c r="O39" s="3" t="s">
        <v>108</v>
      </c>
      <c r="P39" s="5">
        <v>1910</v>
      </c>
      <c r="Q39" s="5">
        <v>1991.2</v>
      </c>
      <c r="R39" s="5">
        <v>2000</v>
      </c>
      <c r="S39" s="5">
        <v>2050</v>
      </c>
      <c r="T39" s="7">
        <v>28.88</v>
      </c>
      <c r="U39" s="7">
        <v>43.03869</v>
      </c>
      <c r="V39" s="7">
        <v>52.38654</v>
      </c>
    </row>
    <row r="40" spans="1:22" ht="18" customHeight="1">
      <c r="A40" s="3" t="s">
        <v>109</v>
      </c>
      <c r="B40" s="4">
        <v>0.00494162</v>
      </c>
      <c r="C40" s="4">
        <v>0.03940811968449509</v>
      </c>
      <c r="D40" s="4">
        <v>-0.00573988157790517</v>
      </c>
      <c r="E40" s="4">
        <v>0.2405875763325396</v>
      </c>
      <c r="F40" s="4">
        <v>0.2549858637617439</v>
      </c>
      <c r="G40" s="4">
        <v>0.4709601751998116</v>
      </c>
      <c r="H40" s="15"/>
      <c r="I40" s="6">
        <v>513.9500122070312</v>
      </c>
      <c r="J40" s="7">
        <v>24.864538</v>
      </c>
      <c r="K40" s="7">
        <v>16.019203</v>
      </c>
      <c r="L40" s="4">
        <v>0.03250889899609155</v>
      </c>
      <c r="M40" s="4">
        <v>0.38919997</v>
      </c>
      <c r="N40" s="4">
        <v>0.0747</v>
      </c>
      <c r="O40" s="3" t="s">
        <v>109</v>
      </c>
      <c r="P40" s="5">
        <v>511</v>
      </c>
      <c r="Q40" s="5">
        <v>637.6</v>
      </c>
      <c r="R40" s="5">
        <v>645</v>
      </c>
      <c r="S40" s="5">
        <v>756</v>
      </c>
      <c r="T40" s="7">
        <v>21.49</v>
      </c>
      <c r="U40" s="7">
        <v>29.88246</v>
      </c>
      <c r="V40" s="7">
        <v>32.11371</v>
      </c>
    </row>
    <row r="41" spans="1:22" ht="18" customHeight="1">
      <c r="A41" s="3" t="s">
        <v>110</v>
      </c>
      <c r="B41" s="4">
        <v>0.00490631</v>
      </c>
      <c r="C41" s="4">
        <v>0.1369673184036764</v>
      </c>
      <c r="D41" s="4">
        <v>-0.09084025300525533</v>
      </c>
      <c r="E41" s="4">
        <v>0.08070947847174437</v>
      </c>
      <c r="F41" s="4">
        <v>0.09477986200617172</v>
      </c>
      <c r="G41" s="4">
        <v>0.1819076710931682</v>
      </c>
      <c r="H41" s="15"/>
      <c r="I41" s="6">
        <v>131.9900054931641</v>
      </c>
      <c r="J41" s="7">
        <v>16.372208</v>
      </c>
      <c r="K41" s="7">
        <v>13.685248</v>
      </c>
      <c r="L41" s="4">
        <v>0.5328895999206793</v>
      </c>
      <c r="M41" s="4">
        <v>0.1748</v>
      </c>
      <c r="N41" s="4">
        <v>0.094399996</v>
      </c>
      <c r="O41" s="3" t="s">
        <v>110</v>
      </c>
      <c r="P41" s="5">
        <v>120</v>
      </c>
      <c r="Q41" s="5">
        <v>142.64285</v>
      </c>
      <c r="R41" s="5">
        <v>144.5</v>
      </c>
      <c r="S41" s="5">
        <v>156</v>
      </c>
      <c r="T41" s="7">
        <v>7.4</v>
      </c>
      <c r="U41" s="7">
        <v>8.811</v>
      </c>
      <c r="V41" s="7">
        <v>9.6425</v>
      </c>
    </row>
    <row r="42" spans="1:22" ht="18" customHeight="1">
      <c r="A42" s="3" t="s">
        <v>111</v>
      </c>
      <c r="B42" s="4">
        <v>0.00484975</v>
      </c>
      <c r="C42" s="4">
        <v>0.2163462290076026</v>
      </c>
      <c r="D42" s="4">
        <v>-0.2707117593277586</v>
      </c>
      <c r="E42" s="4">
        <v>0.006417772127693011</v>
      </c>
      <c r="F42" s="4">
        <v>0.02100353694113788</v>
      </c>
      <c r="G42" s="4">
        <v>0.1960327147024759</v>
      </c>
      <c r="H42" s="15"/>
      <c r="I42" s="6">
        <v>68.55999755859375</v>
      </c>
      <c r="J42" s="7">
        <v>14.313152</v>
      </c>
      <c r="K42" s="7">
        <v>11.703892</v>
      </c>
      <c r="L42" s="4">
        <v>0.1767777738550418</v>
      </c>
      <c r="M42" s="4">
        <v>0.0452</v>
      </c>
      <c r="N42" s="4">
        <v>0.034</v>
      </c>
      <c r="O42" s="3" t="s">
        <v>111</v>
      </c>
      <c r="P42" s="5">
        <v>50</v>
      </c>
      <c r="Q42" s="5">
        <v>69</v>
      </c>
      <c r="R42" s="5">
        <v>70</v>
      </c>
      <c r="S42" s="5">
        <v>82</v>
      </c>
      <c r="T42" s="7">
        <v>4.12</v>
      </c>
      <c r="U42" s="7">
        <v>5.66508</v>
      </c>
      <c r="V42" s="7">
        <v>5.85788</v>
      </c>
    </row>
    <row r="43" spans="1:22" ht="18" customHeight="1">
      <c r="A43" s="3" t="s">
        <v>112</v>
      </c>
      <c r="B43" s="4">
        <v>0.00473653</v>
      </c>
      <c r="C43" s="4">
        <v>-0.112817346124495</v>
      </c>
      <c r="D43" s="4">
        <v>0.1644872527594736</v>
      </c>
      <c r="E43" s="4">
        <v>0.3141809383143013</v>
      </c>
      <c r="F43" s="4">
        <v>0.3234055131360607</v>
      </c>
      <c r="G43" s="4">
        <v>0.4590340284574583</v>
      </c>
      <c r="H43" s="15"/>
      <c r="I43" s="6">
        <v>729.9349975585938</v>
      </c>
      <c r="J43" s="7">
        <v>19.033508</v>
      </c>
      <c r="K43" s="7">
        <v>14.543067</v>
      </c>
      <c r="L43" s="4">
        <v>0.4548686882869835</v>
      </c>
      <c r="M43" s="4">
        <v>0.1313</v>
      </c>
      <c r="N43" s="4">
        <v>0.1344</v>
      </c>
      <c r="O43" s="3" t="s">
        <v>112</v>
      </c>
      <c r="P43" s="5">
        <v>850</v>
      </c>
      <c r="Q43" s="5">
        <v>959.26666</v>
      </c>
      <c r="R43" s="5">
        <v>966</v>
      </c>
      <c r="S43" s="5">
        <v>1065</v>
      </c>
      <c r="T43" s="7">
        <v>25.72</v>
      </c>
      <c r="U43" s="7">
        <v>44.24376</v>
      </c>
      <c r="V43" s="7">
        <v>50.19127</v>
      </c>
    </row>
    <row r="44" spans="1:22" ht="18" customHeight="1">
      <c r="A44" s="3" t="s">
        <v>113</v>
      </c>
      <c r="B44" s="4">
        <v>0.00473307</v>
      </c>
      <c r="C44" s="4">
        <v>0.008146796346765628</v>
      </c>
      <c r="D44" s="4">
        <v>-0.08798207048418194</v>
      </c>
      <c r="E44" s="4">
        <v>0.1431165711259317</v>
      </c>
      <c r="F44" s="4">
        <v>0.1363801677673133</v>
      </c>
      <c r="G44" s="4">
        <v>0.2937251140735566</v>
      </c>
      <c r="H44" s="15"/>
      <c r="I44" s="6">
        <v>343.1950073242188</v>
      </c>
      <c r="J44" s="7">
        <v>21.571026</v>
      </c>
      <c r="K44" s="7">
        <v>18.967274</v>
      </c>
      <c r="L44" s="4">
        <v>0.3163290202361568</v>
      </c>
      <c r="M44" s="4">
        <v>0.0764</v>
      </c>
      <c r="N44" s="4">
        <v>0.08799999999999999</v>
      </c>
      <c r="O44" s="3" t="s">
        <v>113</v>
      </c>
      <c r="P44" s="5">
        <v>313</v>
      </c>
      <c r="Q44" s="5">
        <v>392.3119</v>
      </c>
      <c r="R44" s="5">
        <v>390</v>
      </c>
      <c r="S44" s="5">
        <v>444</v>
      </c>
      <c r="T44" s="7">
        <v>15.45</v>
      </c>
      <c r="U44" s="7">
        <v>16.64876</v>
      </c>
      <c r="V44" s="7">
        <v>18.16332</v>
      </c>
    </row>
    <row r="45" spans="1:22" ht="18" customHeight="1">
      <c r="A45" s="3" t="s">
        <v>114</v>
      </c>
      <c r="B45" s="4">
        <v>0.00456233</v>
      </c>
      <c r="C45" s="4">
        <v>0.119616498725162</v>
      </c>
      <c r="D45" s="4">
        <v>-0.2494429163882926</v>
      </c>
      <c r="E45" s="4">
        <v>0.03132254558556702</v>
      </c>
      <c r="F45" s="4">
        <v>0.05547089882896339</v>
      </c>
      <c r="G45" s="4">
        <v>0.1962003520061586</v>
      </c>
      <c r="H45" s="15"/>
      <c r="I45" s="6">
        <v>85.26999664306641</v>
      </c>
      <c r="J45" s="7">
        <v>41.193237</v>
      </c>
      <c r="K45" s="7">
        <v>33.22993</v>
      </c>
      <c r="L45" s="4">
        <v>0.4656852639291322</v>
      </c>
      <c r="M45" s="4">
        <v>0.14729999</v>
      </c>
      <c r="N45" s="4">
        <v>0.12560001</v>
      </c>
      <c r="O45" s="3" t="s">
        <v>114</v>
      </c>
      <c r="P45" s="5">
        <v>64</v>
      </c>
      <c r="Q45" s="5">
        <v>87.94087</v>
      </c>
      <c r="R45" s="5">
        <v>90</v>
      </c>
      <c r="S45" s="5">
        <v>102</v>
      </c>
      <c r="T45" s="7">
        <v>1.94</v>
      </c>
      <c r="U45" s="7">
        <v>2.27211</v>
      </c>
      <c r="V45" s="7">
        <v>2.54588</v>
      </c>
    </row>
    <row r="46" spans="1:22" ht="18" customHeight="1">
      <c r="A46" s="3" t="s">
        <v>115</v>
      </c>
      <c r="B46" s="4">
        <v>0.00452941</v>
      </c>
      <c r="C46" s="4">
        <v>0.1659164233796093</v>
      </c>
      <c r="D46" s="4">
        <v>-0.2192170700096867</v>
      </c>
      <c r="E46" s="4">
        <v>0.06348599964902579</v>
      </c>
      <c r="F46" s="4">
        <v>0.0902824698062934</v>
      </c>
      <c r="G46" s="4">
        <v>0.2168959179128307</v>
      </c>
      <c r="H46" s="15"/>
      <c r="I46" s="6">
        <v>142.1649932861328</v>
      </c>
      <c r="J46" s="7">
        <v>43.608894</v>
      </c>
      <c r="K46" s="7">
        <v>25.00277</v>
      </c>
      <c r="L46" s="4">
        <v>0.5291302771515378</v>
      </c>
      <c r="M46" s="4">
        <v>0.29729998</v>
      </c>
      <c r="N46" s="4">
        <v>0.1657</v>
      </c>
      <c r="O46" s="3" t="s">
        <v>115</v>
      </c>
      <c r="P46" s="5">
        <v>111</v>
      </c>
      <c r="Q46" s="5">
        <v>151.19048</v>
      </c>
      <c r="R46" s="5">
        <v>155</v>
      </c>
      <c r="S46" s="5">
        <v>173</v>
      </c>
      <c r="T46" s="7">
        <v>5.03</v>
      </c>
      <c r="U46" s="7">
        <v>4.87784</v>
      </c>
      <c r="V46" s="7">
        <v>5.68597</v>
      </c>
    </row>
    <row r="47" spans="1:22" ht="18" customHeight="1">
      <c r="A47" s="3" t="s">
        <v>116</v>
      </c>
      <c r="B47" s="4">
        <v>0.00436181</v>
      </c>
      <c r="C47" s="4">
        <v>0.07351022889144776</v>
      </c>
      <c r="D47" s="4">
        <v>-0.1865461671402057</v>
      </c>
      <c r="E47" s="4">
        <v>0.08436932676005626</v>
      </c>
      <c r="F47" s="4">
        <v>0.1176148312334566</v>
      </c>
      <c r="G47" s="4">
        <v>0.2484747956500322</v>
      </c>
      <c r="H47" s="15"/>
      <c r="I47" s="6">
        <v>282.7449951171875</v>
      </c>
      <c r="J47" s="7">
        <v>24.104433</v>
      </c>
      <c r="K47" s="7">
        <v>21.961527</v>
      </c>
      <c r="L47" s="4">
        <v>0.1957826029429612</v>
      </c>
      <c r="M47" s="4">
        <v>0.09429999999999999</v>
      </c>
      <c r="N47" s="4">
        <v>0.0505</v>
      </c>
      <c r="O47" s="3" t="s">
        <v>116</v>
      </c>
      <c r="P47" s="5">
        <v>230</v>
      </c>
      <c r="Q47" s="5">
        <v>306.6</v>
      </c>
      <c r="R47" s="5">
        <v>316</v>
      </c>
      <c r="S47" s="5">
        <v>353</v>
      </c>
      <c r="T47" s="7">
        <v>11.16</v>
      </c>
      <c r="U47" s="7">
        <v>12.25581</v>
      </c>
      <c r="V47" s="7">
        <v>12.87456</v>
      </c>
    </row>
    <row r="48" spans="1:22" ht="18" customHeight="1">
      <c r="A48" s="3" t="s">
        <v>117</v>
      </c>
      <c r="B48" s="4">
        <v>0.00427863</v>
      </c>
      <c r="C48" s="4">
        <v>-0.01348367525322636</v>
      </c>
      <c r="D48" s="4">
        <v>-0.225777058577976</v>
      </c>
      <c r="E48" s="4">
        <v>0.1807373498955911</v>
      </c>
      <c r="F48" s="4">
        <v>0.2091540643973373</v>
      </c>
      <c r="G48" s="4">
        <v>0.3059319320750904</v>
      </c>
      <c r="H48" s="15"/>
      <c r="I48" s="6">
        <v>878.2999877929688</v>
      </c>
      <c r="J48" s="7">
        <v>32.44551</v>
      </c>
      <c r="K48" s="7">
        <v>25.776335</v>
      </c>
      <c r="L48" s="4">
        <v>0.409852161736955</v>
      </c>
      <c r="M48" s="4">
        <v>0.1427</v>
      </c>
      <c r="N48" s="4">
        <v>0.089700006</v>
      </c>
      <c r="O48" s="3" t="s">
        <v>117</v>
      </c>
      <c r="P48" s="5">
        <v>680</v>
      </c>
      <c r="Q48" s="5">
        <v>1037.0416</v>
      </c>
      <c r="R48" s="5">
        <v>1062</v>
      </c>
      <c r="S48" s="5">
        <v>1147</v>
      </c>
      <c r="T48" s="7">
        <v>27.12</v>
      </c>
      <c r="U48" s="7">
        <v>31.2294</v>
      </c>
      <c r="V48" s="7">
        <v>34.03139</v>
      </c>
    </row>
    <row r="49" spans="1:22" ht="18" customHeight="1">
      <c r="A49" s="3" t="s">
        <v>118</v>
      </c>
      <c r="B49" s="4">
        <v>0.00414818</v>
      </c>
      <c r="C49" s="4">
        <v>0.0006819163821660812</v>
      </c>
      <c r="D49" s="4">
        <v>0.07367517951930114</v>
      </c>
      <c r="E49" s="4">
        <v>0.2643504720429921</v>
      </c>
      <c r="F49" s="4">
        <v>0.2844580368482437</v>
      </c>
      <c r="G49" s="4">
        <v>0.4590125905737743</v>
      </c>
      <c r="H49" s="15"/>
      <c r="I49" s="6">
        <v>303.6300048828125</v>
      </c>
      <c r="J49" s="7">
        <v>33.00326</v>
      </c>
      <c r="K49" s="7">
        <v>22.302105</v>
      </c>
      <c r="L49" s="4">
        <v>0.4428707654199946</v>
      </c>
      <c r="M49" s="4">
        <v>0.0926</v>
      </c>
      <c r="N49" s="4">
        <v>0.16129999</v>
      </c>
      <c r="O49" s="3" t="s">
        <v>118</v>
      </c>
      <c r="P49" s="5">
        <v>326</v>
      </c>
      <c r="Q49" s="5">
        <v>383.89474</v>
      </c>
      <c r="R49" s="5">
        <v>390</v>
      </c>
      <c r="S49" s="5">
        <v>443</v>
      </c>
      <c r="T49" s="7">
        <v>8.529999999999999</v>
      </c>
      <c r="U49" s="7">
        <v>11.7232</v>
      </c>
      <c r="V49" s="7">
        <v>13.61441</v>
      </c>
    </row>
    <row r="50" spans="1:22" ht="18" customHeight="1">
      <c r="A50" s="3" t="s">
        <v>119</v>
      </c>
      <c r="B50" s="4">
        <v>0.00402804</v>
      </c>
      <c r="C50" s="4">
        <v>-0.05915070707360692</v>
      </c>
      <c r="D50" s="4">
        <v>-0.22378636571729</v>
      </c>
      <c r="E50" s="4">
        <v>0.2376913216156571</v>
      </c>
      <c r="F50" s="4">
        <v>0.2761478394139469</v>
      </c>
      <c r="G50" s="4">
        <v>0.6576765749088382</v>
      </c>
      <c r="H50" s="15"/>
      <c r="I50" s="6">
        <v>76.01000213623047</v>
      </c>
      <c r="J50" s="7">
        <v>27.740877</v>
      </c>
      <c r="K50" s="7">
        <v>5.403876</v>
      </c>
      <c r="L50" s="4">
        <v>0.5994183576085428</v>
      </c>
      <c r="M50" s="4">
        <v>0.2094</v>
      </c>
      <c r="N50" s="4">
        <v>0.0955</v>
      </c>
      <c r="O50" s="3" t="s">
        <v>119</v>
      </c>
      <c r="P50" s="5">
        <v>59</v>
      </c>
      <c r="Q50" s="5">
        <v>94.07692</v>
      </c>
      <c r="R50" s="5">
        <v>97</v>
      </c>
      <c r="S50" s="5">
        <v>126</v>
      </c>
      <c r="T50" s="7">
        <v>3.27</v>
      </c>
      <c r="U50" s="7">
        <v>12.81987</v>
      </c>
      <c r="V50" s="7">
        <v>14.04383</v>
      </c>
    </row>
    <row r="51" spans="1:22" ht="18" customHeight="1">
      <c r="A51" s="3" t="s">
        <v>120</v>
      </c>
      <c r="B51" s="4">
        <v>0.00401958</v>
      </c>
      <c r="C51" s="4">
        <v>0.2538908913458287</v>
      </c>
      <c r="D51" s="4">
        <v>-0.5216787352603529</v>
      </c>
      <c r="E51" s="4">
        <v>0.04179991580707942</v>
      </c>
      <c r="F51" s="4">
        <v>0.04922083878374184</v>
      </c>
      <c r="G51" s="4">
        <v>0.1726585845230058</v>
      </c>
      <c r="H51" s="15"/>
      <c r="I51" s="6">
        <v>64.80999755859375</v>
      </c>
      <c r="J51" s="7">
        <v>34.291004</v>
      </c>
      <c r="K51" s="7">
        <v>17.495033</v>
      </c>
      <c r="L51" s="4">
        <v>0.3612566149550216</v>
      </c>
      <c r="M51" s="4">
        <v>0.4746</v>
      </c>
      <c r="N51" s="4">
        <v>0.4193</v>
      </c>
      <c r="O51" s="3" t="s">
        <v>120</v>
      </c>
      <c r="P51" s="5">
        <v>31</v>
      </c>
      <c r="Q51" s="5">
        <v>67.51904999999999</v>
      </c>
      <c r="R51" s="5">
        <v>68</v>
      </c>
      <c r="S51" s="5">
        <v>76</v>
      </c>
      <c r="T51" s="7">
        <v>1.52</v>
      </c>
      <c r="U51" s="7">
        <v>2.61013</v>
      </c>
      <c r="V51" s="7">
        <v>3.70448</v>
      </c>
    </row>
    <row r="52" spans="1:22" ht="18" customHeight="1">
      <c r="A52" s="3" t="s">
        <v>121</v>
      </c>
      <c r="B52" s="4">
        <v>0.003623</v>
      </c>
      <c r="C52" s="4">
        <v>-0.09803546887085102</v>
      </c>
      <c r="D52" s="4">
        <v>-0.06525508321964291</v>
      </c>
      <c r="E52" s="4">
        <v>0.2111442677383855</v>
      </c>
      <c r="F52" s="4">
        <v>0.2274428200146104</v>
      </c>
      <c r="G52" s="4">
        <v>0.4988965205947644</v>
      </c>
      <c r="H52" s="15"/>
      <c r="I52" s="6">
        <v>423.6449890136719</v>
      </c>
      <c r="J52" s="7">
        <v>14.593351</v>
      </c>
      <c r="K52" s="7">
        <v>12.778832</v>
      </c>
      <c r="L52" s="4">
        <v>0.5797198990326027</v>
      </c>
      <c r="M52" s="4">
        <v>0.070300005</v>
      </c>
      <c r="N52" s="4">
        <v>0.098000005</v>
      </c>
      <c r="O52" s="3" t="s">
        <v>121</v>
      </c>
      <c r="P52" s="5">
        <v>396</v>
      </c>
      <c r="Q52" s="5">
        <v>513.0952</v>
      </c>
      <c r="R52" s="5">
        <v>520</v>
      </c>
      <c r="S52" s="5">
        <v>635</v>
      </c>
      <c r="T52" s="7">
        <v>28.33</v>
      </c>
      <c r="U52" s="7">
        <v>30.1942</v>
      </c>
      <c r="V52" s="7">
        <v>33.15209</v>
      </c>
    </row>
    <row r="53" spans="1:22" ht="18" customHeight="1">
      <c r="A53" s="3" t="s">
        <v>122</v>
      </c>
      <c r="B53" s="4">
        <v>0.00354457</v>
      </c>
      <c r="C53" s="4">
        <v>-0.05519142599561999</v>
      </c>
      <c r="D53" s="4">
        <v>0.06463366789780101</v>
      </c>
      <c r="E53" s="4">
        <v>0.2883240396758942</v>
      </c>
      <c r="F53" s="4">
        <v>0.3162427078331862</v>
      </c>
      <c r="G53" s="4">
        <v>0.4776002849642516</v>
      </c>
      <c r="H53" s="15"/>
      <c r="I53" s="6">
        <v>551.5700073242188</v>
      </c>
      <c r="J53" s="7">
        <v>17.274351</v>
      </c>
      <c r="K53" s="7">
        <v>18.250553</v>
      </c>
      <c r="L53" s="4">
        <v>0.239527897012846</v>
      </c>
      <c r="M53" s="4">
        <v>0.060599998</v>
      </c>
      <c r="N53" s="4">
        <v>0.08189999000000001</v>
      </c>
      <c r="O53" s="3" t="s">
        <v>122</v>
      </c>
      <c r="P53" s="5">
        <v>587.22</v>
      </c>
      <c r="Q53" s="5">
        <v>710.6009</v>
      </c>
      <c r="R53" s="5">
        <v>726</v>
      </c>
      <c r="S53" s="5">
        <v>815</v>
      </c>
      <c r="T53" s="7">
        <v>29.08</v>
      </c>
      <c r="U53" s="7">
        <v>27.93498</v>
      </c>
      <c r="V53" s="7">
        <v>30.2221</v>
      </c>
    </row>
    <row r="54" spans="1:22" ht="18" customHeight="1">
      <c r="A54" s="3" t="s">
        <v>123</v>
      </c>
      <c r="B54" s="4">
        <v>0.00344725</v>
      </c>
      <c r="C54" s="4">
        <v>0.7625710537251271</v>
      </c>
      <c r="D54" s="4">
        <v>-0.08926425774295843</v>
      </c>
      <c r="E54" s="4">
        <v>0.09114812126659877</v>
      </c>
      <c r="F54" s="4">
        <v>0.1004723552272586</v>
      </c>
      <c r="G54" s="4">
        <v>0.2143143230093887</v>
      </c>
      <c r="H54" s="15"/>
      <c r="I54" s="6">
        <v>1647.02001953125</v>
      </c>
      <c r="J54" s="7">
        <v>118.23546</v>
      </c>
      <c r="K54" s="7">
        <v>54.611485</v>
      </c>
      <c r="L54" s="4">
        <v>0.5379547680506784</v>
      </c>
      <c r="M54" s="4">
        <v>0.3518</v>
      </c>
      <c r="N54" s="4">
        <v>0.2555</v>
      </c>
      <c r="O54" s="3" t="s">
        <v>123</v>
      </c>
      <c r="P54" s="5">
        <v>1500</v>
      </c>
      <c r="Q54" s="5">
        <v>1797.1428</v>
      </c>
      <c r="R54" s="5">
        <v>1812.5</v>
      </c>
      <c r="S54" s="5">
        <v>2000</v>
      </c>
      <c r="T54" s="7">
        <v>12.86</v>
      </c>
      <c r="U54" s="7">
        <v>24.02205</v>
      </c>
      <c r="V54" s="7">
        <v>30.15886</v>
      </c>
    </row>
    <row r="55" spans="1:22" ht="18" customHeight="1">
      <c r="A55" s="3" t="s">
        <v>124</v>
      </c>
      <c r="B55" s="4">
        <v>0.00326232</v>
      </c>
      <c r="C55" s="4">
        <v>0.2272517586996072</v>
      </c>
      <c r="D55" s="4">
        <v>-0.1233393628310534</v>
      </c>
      <c r="E55" s="4">
        <v>0.1040001848547483</v>
      </c>
      <c r="F55" s="4">
        <v>0.1194281982311163</v>
      </c>
      <c r="G55" s="4">
        <v>0.2138378053108492</v>
      </c>
      <c r="H55" s="15"/>
      <c r="I55" s="6">
        <v>74.14499664306641</v>
      </c>
      <c r="J55" s="7">
        <v>32.519737</v>
      </c>
      <c r="K55" s="7">
        <v>28.598042</v>
      </c>
      <c r="L55" s="4">
        <v>0.1129021060055067</v>
      </c>
      <c r="M55" s="4">
        <v>0.137</v>
      </c>
      <c r="N55" s="4">
        <v>0.0859</v>
      </c>
      <c r="O55" s="3" t="s">
        <v>124</v>
      </c>
      <c r="P55" s="5">
        <v>65</v>
      </c>
      <c r="Q55" s="5">
        <v>81.85608999999999</v>
      </c>
      <c r="R55" s="5">
        <v>83</v>
      </c>
      <c r="S55" s="5">
        <v>90</v>
      </c>
      <c r="T55" s="7">
        <v>2.14</v>
      </c>
      <c r="U55" s="7">
        <v>2.38764</v>
      </c>
      <c r="V55" s="7">
        <v>2.59266</v>
      </c>
    </row>
    <row r="56" spans="1:22" ht="18" customHeight="1">
      <c r="A56" s="3" t="s">
        <v>125</v>
      </c>
      <c r="B56" s="4">
        <v>0.00320167</v>
      </c>
      <c r="C56" s="4">
        <v>0.1420900102683407</v>
      </c>
      <c r="D56" s="4">
        <v>0.005513495267880808</v>
      </c>
      <c r="E56" s="4">
        <v>0.1078558101675762</v>
      </c>
      <c r="F56" s="4">
        <v>0.1052972772410294</v>
      </c>
      <c r="G56" s="4">
        <v>0.2971891656509302</v>
      </c>
      <c r="H56" s="15"/>
      <c r="I56" s="6">
        <v>130.2816925048828</v>
      </c>
      <c r="J56" s="7">
        <v>19.27244</v>
      </c>
      <c r="K56" s="7">
        <v>18.920343</v>
      </c>
      <c r="L56" s="4">
        <v>0.2978957533821533</v>
      </c>
      <c r="M56" s="4">
        <v>0.06809999999999999</v>
      </c>
      <c r="N56" s="4">
        <v>0.0799</v>
      </c>
      <c r="O56" s="3" t="s">
        <v>125</v>
      </c>
      <c r="P56" s="5">
        <v>131</v>
      </c>
      <c r="Q56" s="5">
        <v>144.33333</v>
      </c>
      <c r="R56" s="5">
        <v>144</v>
      </c>
      <c r="S56" s="5">
        <v>169</v>
      </c>
      <c r="T56" s="7">
        <v>6.66</v>
      </c>
      <c r="U56" s="7">
        <v>6.37627</v>
      </c>
      <c r="V56" s="7">
        <v>6.8858</v>
      </c>
    </row>
    <row r="57" spans="1:22" ht="18" customHeight="1">
      <c r="A57" s="3" t="s">
        <v>126</v>
      </c>
      <c r="B57" s="4">
        <v>0.0031716</v>
      </c>
      <c r="C57" s="4">
        <v>-0.1114518103808309</v>
      </c>
      <c r="D57" s="4">
        <v>0.1790506435883499</v>
      </c>
      <c r="E57" s="4">
        <v>0.3450316898779766</v>
      </c>
      <c r="F57" s="4">
        <v>0.3435693380425382</v>
      </c>
      <c r="G57" s="4">
        <v>0.5080880324967265</v>
      </c>
      <c r="H57" s="15"/>
      <c r="I57" s="6">
        <v>182.35009765625</v>
      </c>
      <c r="J57" s="7">
        <v>27.797272</v>
      </c>
      <c r="K57" s="7">
        <v>15.22445</v>
      </c>
      <c r="L57" s="4">
        <v>0.7587066772385871</v>
      </c>
      <c r="M57" s="4">
        <v>0.3069</v>
      </c>
      <c r="N57" s="4">
        <v>0.11229999</v>
      </c>
      <c r="O57" s="3" t="s">
        <v>126</v>
      </c>
      <c r="P57" s="5">
        <v>215</v>
      </c>
      <c r="Q57" s="5">
        <v>245.26666</v>
      </c>
      <c r="R57" s="5">
        <v>245</v>
      </c>
      <c r="S57" s="5">
        <v>275</v>
      </c>
      <c r="T57" s="7">
        <v>6.45</v>
      </c>
      <c r="U57" s="7">
        <v>10.76846</v>
      </c>
      <c r="V57" s="7">
        <v>11.97745</v>
      </c>
    </row>
    <row r="58" spans="1:22" ht="18" customHeight="1">
      <c r="A58" s="3" t="s">
        <v>127</v>
      </c>
      <c r="B58" s="4">
        <v>0.00311116</v>
      </c>
      <c r="C58" s="4">
        <v>-0.1154263617833531</v>
      </c>
      <c r="D58" s="4">
        <v>0.06967473116464684</v>
      </c>
      <c r="E58" s="4">
        <v>0.2859128815800887</v>
      </c>
      <c r="F58" s="4">
        <v>0.2641610459218555</v>
      </c>
      <c r="G58" s="4">
        <v>0.7503768328148768</v>
      </c>
      <c r="H58" s="15"/>
      <c r="I58" s="6">
        <v>205.6699981689453</v>
      </c>
      <c r="J58" s="7">
        <v>21.008171</v>
      </c>
      <c r="K58" s="7">
        <v>16.293415</v>
      </c>
      <c r="L58" s="4">
        <v>0.6373700418051653</v>
      </c>
      <c r="M58" s="4">
        <v>0.2827</v>
      </c>
      <c r="N58" s="4">
        <v>0.1234</v>
      </c>
      <c r="O58" s="3" t="s">
        <v>127</v>
      </c>
      <c r="P58" s="5">
        <v>220</v>
      </c>
      <c r="Q58" s="5">
        <v>264.4737</v>
      </c>
      <c r="R58" s="5">
        <v>260</v>
      </c>
      <c r="S58" s="5">
        <v>360</v>
      </c>
      <c r="T58" s="7">
        <v>6.16</v>
      </c>
      <c r="U58" s="7">
        <v>11.2361</v>
      </c>
      <c r="V58" s="7">
        <v>12.62289</v>
      </c>
    </row>
    <row r="59" spans="1:22" ht="18" customHeight="1">
      <c r="A59" s="3" t="s">
        <v>128</v>
      </c>
      <c r="B59" s="4">
        <v>0.00305331</v>
      </c>
      <c r="C59" s="4">
        <v>0.764299788327794</v>
      </c>
      <c r="D59" s="4">
        <v>-0.2623857992992324</v>
      </c>
      <c r="E59" s="4">
        <v>0.009519065810067451</v>
      </c>
      <c r="F59" s="4">
        <v>0.05724702100443335</v>
      </c>
      <c r="G59" s="4">
        <v>0.2839950901087434</v>
      </c>
      <c r="H59" s="15"/>
      <c r="I59" s="6">
        <v>366.0450134277344</v>
      </c>
      <c r="J59" s="7">
        <v>67.78610999999999</v>
      </c>
      <c r="K59" s="7">
        <v>38.47751</v>
      </c>
      <c r="L59" s="4">
        <v>0.5360537887020902</v>
      </c>
      <c r="M59" s="4">
        <v>0.8128</v>
      </c>
      <c r="N59" s="4">
        <v>0.3252</v>
      </c>
      <c r="O59" s="3" t="s">
        <v>128</v>
      </c>
      <c r="P59" s="5">
        <v>270</v>
      </c>
      <c r="Q59" s="5">
        <v>369.52942</v>
      </c>
      <c r="R59" s="5">
        <v>387</v>
      </c>
      <c r="S59" s="5">
        <v>470</v>
      </c>
      <c r="T59" s="7">
        <v>3.47</v>
      </c>
      <c r="U59" s="7">
        <v>7.17873</v>
      </c>
      <c r="V59" s="7">
        <v>9.51322</v>
      </c>
    </row>
    <row r="60" spans="1:22" ht="18" customHeight="1">
      <c r="A60" s="3" t="s">
        <v>129</v>
      </c>
      <c r="B60" s="4">
        <v>0.00284069</v>
      </c>
      <c r="C60" s="4">
        <v>-0.2296421128370895</v>
      </c>
      <c r="D60" s="4">
        <v>0.07442293200835404</v>
      </c>
      <c r="E60" s="4">
        <v>0.3698892383106516</v>
      </c>
      <c r="F60" s="4">
        <v>0.3526217269033745</v>
      </c>
      <c r="G60" s="4">
        <v>0.6308205217983947</v>
      </c>
      <c r="H60" s="15"/>
      <c r="I60" s="6">
        <v>260.6050109863281</v>
      </c>
      <c r="J60" s="7">
        <v>19.969732</v>
      </c>
      <c r="K60" s="7">
        <v>13.161298</v>
      </c>
      <c r="L60" s="4">
        <v>0.5144446187552332</v>
      </c>
      <c r="M60" s="4">
        <v>0.1102</v>
      </c>
      <c r="N60" s="4">
        <v>0.113299996</v>
      </c>
      <c r="O60" s="3" t="s">
        <v>129</v>
      </c>
      <c r="P60" s="5">
        <v>280</v>
      </c>
      <c r="Q60" s="5">
        <v>357</v>
      </c>
      <c r="R60" s="5">
        <v>352.5</v>
      </c>
      <c r="S60" s="5">
        <v>425</v>
      </c>
      <c r="T60" s="7">
        <v>7.96</v>
      </c>
      <c r="U60" s="7">
        <v>17.7635</v>
      </c>
      <c r="V60" s="7">
        <v>19.77592</v>
      </c>
    </row>
    <row r="61" spans="1:22" ht="18" customHeight="1">
      <c r="A61" s="3" t="s">
        <v>130</v>
      </c>
      <c r="B61" s="4">
        <v>0.00253887</v>
      </c>
      <c r="C61" s="4">
        <v>-0.2999739417865471</v>
      </c>
      <c r="D61" s="4">
        <v>-0.3550787328372917</v>
      </c>
      <c r="E61" s="4">
        <v>0.2208597712165634</v>
      </c>
      <c r="F61" s="4">
        <v>0.209227375930078</v>
      </c>
      <c r="G61" s="4">
        <v>0.9223614694273035</v>
      </c>
      <c r="H61" s="15"/>
      <c r="I61" s="6">
        <v>80.62999725341797</v>
      </c>
      <c r="J61" s="7">
        <v>39.140778</v>
      </c>
      <c r="K61" s="7">
        <v>31.527372</v>
      </c>
      <c r="L61" s="4">
        <v>1.867647119985678</v>
      </c>
      <c r="M61" s="4">
        <v>-0.0809</v>
      </c>
      <c r="N61" s="4">
        <v>0.1906</v>
      </c>
      <c r="O61" s="3" t="s">
        <v>130</v>
      </c>
      <c r="P61" s="5">
        <v>52</v>
      </c>
      <c r="Q61" s="5">
        <v>98.43792000000001</v>
      </c>
      <c r="R61" s="5">
        <v>97.5</v>
      </c>
      <c r="S61" s="5">
        <v>155</v>
      </c>
      <c r="T61" s="7">
        <v>2.05</v>
      </c>
      <c r="U61" s="7">
        <v>1.89729</v>
      </c>
      <c r="V61" s="7">
        <v>2.49349</v>
      </c>
    </row>
    <row r="62" spans="1:22" ht="18" customHeight="1">
      <c r="A62" s="3" t="s">
        <v>131</v>
      </c>
      <c r="B62" s="4">
        <v>0.00252973</v>
      </c>
      <c r="C62" s="4">
        <v>0.1476901174713452</v>
      </c>
      <c r="D62" s="4">
        <v>-0.3813469660608954</v>
      </c>
      <c r="E62" s="4">
        <v>0.008466749385151351</v>
      </c>
      <c r="F62" s="4">
        <v>0.04644502549274088</v>
      </c>
      <c r="G62" s="4">
        <v>0.151747669567482</v>
      </c>
      <c r="H62" s="15"/>
      <c r="I62" s="6">
        <v>455.8290100097656</v>
      </c>
      <c r="J62" s="7">
        <v>47.383472</v>
      </c>
      <c r="K62" s="7">
        <v>33.1241</v>
      </c>
      <c r="L62" s="4">
        <v>0.4077658811683735</v>
      </c>
      <c r="M62" s="4">
        <v>0.23020001</v>
      </c>
      <c r="N62" s="4">
        <v>0.1158</v>
      </c>
      <c r="O62" s="3" t="s">
        <v>131</v>
      </c>
      <c r="P62" s="5">
        <v>282</v>
      </c>
      <c r="Q62" s="5">
        <v>459.6884</v>
      </c>
      <c r="R62" s="5">
        <v>477</v>
      </c>
      <c r="S62" s="5">
        <v>525</v>
      </c>
      <c r="T62" s="7">
        <v>7.67</v>
      </c>
      <c r="U62" s="7">
        <v>12.95403</v>
      </c>
      <c r="V62" s="7">
        <v>14.45358</v>
      </c>
    </row>
    <row r="63" spans="1:22" ht="18" customHeight="1">
      <c r="A63" s="3" t="s">
        <v>132</v>
      </c>
      <c r="B63" s="4">
        <v>0.00221627</v>
      </c>
      <c r="C63" s="4">
        <v>-0.07976553482796667</v>
      </c>
      <c r="D63" s="4">
        <v>-0.1765751874107825</v>
      </c>
      <c r="E63" s="4">
        <v>0.128091993247228</v>
      </c>
      <c r="F63" s="4">
        <v>0.07045225636598285</v>
      </c>
      <c r="G63" s="4">
        <v>0.4821646626605915</v>
      </c>
      <c r="H63" s="15"/>
      <c r="I63" s="6">
        <v>12.14439964294434</v>
      </c>
      <c r="J63" s="9" t="s">
        <v>79</v>
      </c>
      <c r="K63" s="7">
        <v>6.5574865</v>
      </c>
      <c r="L63" s="4">
        <v>0.4603283451889613</v>
      </c>
      <c r="M63" s="4">
        <v>0.47509998</v>
      </c>
      <c r="N63" s="4">
        <v>0.1518</v>
      </c>
      <c r="O63" s="3" t="s">
        <v>132</v>
      </c>
      <c r="P63" s="5">
        <v>10</v>
      </c>
      <c r="Q63" s="5">
        <v>13.7</v>
      </c>
      <c r="R63" s="5">
        <v>13</v>
      </c>
      <c r="S63" s="5">
        <v>18</v>
      </c>
      <c r="T63" s="7">
        <v>-2.06</v>
      </c>
      <c r="U63" s="7">
        <v>1.60784</v>
      </c>
      <c r="V63" s="7">
        <v>1.85199</v>
      </c>
    </row>
    <row r="64" spans="1:22" ht="18" customHeight="1">
      <c r="A64" s="3" t="s">
        <v>133</v>
      </c>
      <c r="B64" s="4">
        <v>0.00195733</v>
      </c>
      <c r="C64" s="4">
        <v>0.1314161150041062</v>
      </c>
      <c r="D64" s="4">
        <v>-0.01075513412148621</v>
      </c>
      <c r="E64" s="4">
        <v>0.09564620319684236</v>
      </c>
      <c r="F64" s="4">
        <v>0.0927704913774281</v>
      </c>
      <c r="G64" s="4">
        <v>0.1732904223210281</v>
      </c>
      <c r="H64" s="15"/>
      <c r="I64" s="6">
        <v>86.93499755859375</v>
      </c>
      <c r="J64" s="7">
        <v>158.06363</v>
      </c>
      <c r="K64" s="7">
        <v>95.88384000000001</v>
      </c>
      <c r="L64" s="4">
        <v>0.3726044590392128</v>
      </c>
      <c r="M64" s="4">
        <v>0.352</v>
      </c>
      <c r="N64" s="4">
        <v>0.48630002</v>
      </c>
      <c r="O64" s="3" t="s">
        <v>133</v>
      </c>
      <c r="P64" s="5">
        <v>86</v>
      </c>
      <c r="Q64" s="5">
        <v>95.25</v>
      </c>
      <c r="R64" s="5">
        <v>95</v>
      </c>
      <c r="S64" s="5">
        <v>102</v>
      </c>
      <c r="T64" s="7">
        <v>0.54</v>
      </c>
      <c r="U64" s="7">
        <v>0.61</v>
      </c>
      <c r="V64" s="7">
        <v>0.90667</v>
      </c>
    </row>
    <row r="65" spans="1:22" ht="18" customHeight="1">
      <c r="A65" s="3" t="s">
        <v>134</v>
      </c>
      <c r="B65" s="4">
        <v>0.00195607</v>
      </c>
      <c r="C65" s="4">
        <v>-0.2105180449946963</v>
      </c>
      <c r="D65" s="4">
        <v>-0.1114388197412141</v>
      </c>
      <c r="E65" s="4">
        <v>0.3406741536088049</v>
      </c>
      <c r="F65" s="4">
        <v>0.3470209381582661</v>
      </c>
      <c r="G65" s="4">
        <v>0.5218973406560057</v>
      </c>
      <c r="H65" s="15"/>
      <c r="I65" s="6">
        <v>528.9450073242188</v>
      </c>
      <c r="J65" s="7">
        <v>38.86444</v>
      </c>
      <c r="K65" s="7">
        <v>32.05269</v>
      </c>
      <c r="L65" s="4">
        <v>0.6547144899041195</v>
      </c>
      <c r="M65" s="4">
        <v>0.1171</v>
      </c>
      <c r="N65" s="4">
        <v>0.1293</v>
      </c>
      <c r="O65" s="3" t="s">
        <v>134</v>
      </c>
      <c r="P65" s="5">
        <v>470</v>
      </c>
      <c r="Q65" s="5">
        <v>709.1429000000001</v>
      </c>
      <c r="R65" s="5">
        <v>712.5</v>
      </c>
      <c r="S65" s="5">
        <v>805</v>
      </c>
      <c r="T65" s="7">
        <v>13.08</v>
      </c>
      <c r="U65" s="7">
        <v>14.61227</v>
      </c>
      <c r="V65" s="7">
        <v>16.50236</v>
      </c>
    </row>
    <row r="66" spans="1:22" ht="18" customHeight="1">
      <c r="A66" s="3" t="s">
        <v>135</v>
      </c>
      <c r="B66" s="4">
        <v>0.00195101</v>
      </c>
      <c r="C66" s="4">
        <v>0.4640457817711974</v>
      </c>
      <c r="D66" s="4">
        <v>-0.05245237180976803</v>
      </c>
      <c r="E66" s="4">
        <v>0.05300914387016187</v>
      </c>
      <c r="F66" s="4">
        <v>0.01339415828480739</v>
      </c>
      <c r="G66" s="4">
        <v>0.2023683462798085</v>
      </c>
      <c r="H66" s="15"/>
      <c r="I66" s="6">
        <v>933.989990234375</v>
      </c>
      <c r="J66" s="7">
        <v>31.37353</v>
      </c>
      <c r="K66" s="7">
        <v>28.801197</v>
      </c>
      <c r="L66" s="4">
        <v>0.3395048705305643</v>
      </c>
      <c r="M66" s="4">
        <v>0.13159999</v>
      </c>
      <c r="N66" s="4">
        <v>0.107700005</v>
      </c>
      <c r="O66" s="3" t="s">
        <v>135</v>
      </c>
      <c r="P66" s="5">
        <v>885</v>
      </c>
      <c r="Q66" s="5">
        <v>983.5</v>
      </c>
      <c r="R66" s="5">
        <v>946.5</v>
      </c>
      <c r="S66" s="5">
        <v>1123</v>
      </c>
      <c r="T66" s="7">
        <v>28.19</v>
      </c>
      <c r="U66" s="7">
        <v>29.27472</v>
      </c>
      <c r="V66" s="7">
        <v>32.42886</v>
      </c>
    </row>
    <row r="67" spans="1:22" ht="18" customHeight="1">
      <c r="A67" s="3" t="s">
        <v>136</v>
      </c>
      <c r="B67" s="4">
        <v>0.00192599</v>
      </c>
      <c r="C67" s="4">
        <v>0.2177507133894272</v>
      </c>
      <c r="D67" s="4">
        <v>-0.194226750190642</v>
      </c>
      <c r="E67" s="4">
        <v>0.08089992153819314</v>
      </c>
      <c r="F67" s="4">
        <v>0.1156860381975726</v>
      </c>
      <c r="G67" s="4">
        <v>0.1953778980688279</v>
      </c>
      <c r="H67" s="15"/>
      <c r="I67" s="6">
        <v>112.9349975585938</v>
      </c>
      <c r="J67" s="7">
        <v>28.809948</v>
      </c>
      <c r="K67" s="7">
        <v>22.521328</v>
      </c>
      <c r="L67" s="4">
        <v>0.260426376778724</v>
      </c>
      <c r="M67" s="4">
        <v>0.123</v>
      </c>
      <c r="N67" s="4">
        <v>0.1421</v>
      </c>
      <c r="O67" s="3" t="s">
        <v>136</v>
      </c>
      <c r="P67" s="5">
        <v>91</v>
      </c>
      <c r="Q67" s="5">
        <v>122.07143</v>
      </c>
      <c r="R67" s="5">
        <v>126</v>
      </c>
      <c r="S67" s="5">
        <v>135</v>
      </c>
      <c r="T67" s="7">
        <v>3.91</v>
      </c>
      <c r="U67" s="7">
        <v>4.39085</v>
      </c>
      <c r="V67" s="7">
        <v>5.01458</v>
      </c>
    </row>
    <row r="68" spans="1:22" ht="18" customHeight="1">
      <c r="A68" s="3" t="s">
        <v>137</v>
      </c>
      <c r="B68" s="4">
        <v>0.00182593</v>
      </c>
      <c r="C68" s="4">
        <v>0.2386781378210896</v>
      </c>
      <c r="D68" s="4">
        <v>-0.395236341925488</v>
      </c>
      <c r="E68" s="4">
        <v>-0.01428696789145134</v>
      </c>
      <c r="F68" s="4">
        <v>0.02344619058763575</v>
      </c>
      <c r="G68" s="4">
        <v>0.2095273161490241</v>
      </c>
      <c r="H68" s="15"/>
      <c r="I68" s="6">
        <v>107.4800033569336</v>
      </c>
      <c r="J68" s="7">
        <v>24.822172</v>
      </c>
      <c r="K68" s="7">
        <v>15.911484</v>
      </c>
      <c r="L68" s="4">
        <v>0.4201285030158126</v>
      </c>
      <c r="M68" s="4">
        <v>0.1092</v>
      </c>
      <c r="N68" s="4">
        <v>0.1033</v>
      </c>
      <c r="O68" s="3" t="s">
        <v>137</v>
      </c>
      <c r="P68" s="5">
        <v>65</v>
      </c>
      <c r="Q68" s="5">
        <v>105.94444</v>
      </c>
      <c r="R68" s="5">
        <v>110</v>
      </c>
      <c r="S68" s="5">
        <v>130</v>
      </c>
      <c r="T68" s="7">
        <v>4.34</v>
      </c>
      <c r="U68" s="7">
        <v>6.12256</v>
      </c>
      <c r="V68" s="7">
        <v>6.75487</v>
      </c>
    </row>
    <row r="69" spans="1:22" ht="18" customHeight="1">
      <c r="A69" s="3" t="s">
        <v>138</v>
      </c>
      <c r="B69" s="4">
        <v>0.00180749</v>
      </c>
      <c r="C69" s="4">
        <v>-0.2266731349654197</v>
      </c>
      <c r="D69" s="4">
        <v>0.05855425666517022</v>
      </c>
      <c r="E69" s="4">
        <v>0.3947167570926231</v>
      </c>
      <c r="F69" s="4">
        <v>0.3780278386316855</v>
      </c>
      <c r="G69" s="4">
        <v>0.668891846093737</v>
      </c>
      <c r="H69" s="15"/>
      <c r="I69" s="6">
        <v>104.8600006103516</v>
      </c>
      <c r="J69" s="7">
        <v>15.308029</v>
      </c>
      <c r="K69" s="7">
        <v>13.141208</v>
      </c>
      <c r="L69" s="4">
        <v>0.800605744234363</v>
      </c>
      <c r="M69" s="4">
        <v>0.0644</v>
      </c>
      <c r="N69" s="4">
        <v>0.094399996</v>
      </c>
      <c r="O69" s="3" t="s">
        <v>138</v>
      </c>
      <c r="P69" s="5">
        <v>111</v>
      </c>
      <c r="Q69" s="5">
        <v>146.25</v>
      </c>
      <c r="R69" s="5">
        <v>144.5</v>
      </c>
      <c r="S69" s="5">
        <v>175</v>
      </c>
      <c r="T69" s="7">
        <v>5.11</v>
      </c>
      <c r="U69" s="7">
        <v>7.28444</v>
      </c>
      <c r="V69" s="7">
        <v>7.95512</v>
      </c>
    </row>
    <row r="70" spans="1:22" ht="18" customHeight="1">
      <c r="A70" s="3" t="s">
        <v>139</v>
      </c>
      <c r="B70" s="4">
        <v>0.00167861</v>
      </c>
      <c r="C70" s="4">
        <v>0.4064711744728835</v>
      </c>
      <c r="D70" s="4">
        <v>-0.2157313404598147</v>
      </c>
      <c r="E70" s="4">
        <v>-0.05034131820121324</v>
      </c>
      <c r="F70" s="4">
        <v>-0.03761904415398509</v>
      </c>
      <c r="G70" s="4">
        <v>0.1347476942064951</v>
      </c>
      <c r="H70" s="15"/>
      <c r="I70" s="6">
        <v>348.0950012207031</v>
      </c>
      <c r="J70" s="7">
        <v>29.726303</v>
      </c>
      <c r="K70" s="7">
        <v>24.232298</v>
      </c>
      <c r="L70" s="4">
        <v>0.2851887108401236</v>
      </c>
      <c r="M70" s="4">
        <v>0.2791</v>
      </c>
      <c r="N70" s="4">
        <v>0.0525</v>
      </c>
      <c r="O70" s="3" t="s">
        <v>139</v>
      </c>
      <c r="P70" s="5">
        <v>273</v>
      </c>
      <c r="Q70" s="5">
        <v>330.57144</v>
      </c>
      <c r="R70" s="5">
        <v>335</v>
      </c>
      <c r="S70" s="5">
        <v>395</v>
      </c>
      <c r="T70" s="7">
        <v>10.42</v>
      </c>
      <c r="U70" s="7">
        <v>13.64781</v>
      </c>
      <c r="V70" s="7">
        <v>14.36492</v>
      </c>
    </row>
    <row r="71" spans="1:22" ht="18" customHeight="1">
      <c r="A71" s="3" t="s">
        <v>140</v>
      </c>
      <c r="B71" s="4">
        <v>0.00167337</v>
      </c>
      <c r="C71" s="4">
        <v>0.1754626847198304</v>
      </c>
      <c r="D71" s="4">
        <v>-0.2037688630203046</v>
      </c>
      <c r="E71" s="4">
        <v>0.05524313526134783</v>
      </c>
      <c r="F71" s="4">
        <v>0.08486492413483493</v>
      </c>
      <c r="G71" s="4">
        <v>0.1611704080953891</v>
      </c>
      <c r="H71" s="15"/>
      <c r="I71" s="6">
        <v>150.7100067138672</v>
      </c>
      <c r="J71" s="7">
        <v>15.300508</v>
      </c>
      <c r="K71" s="7">
        <v>10.940796</v>
      </c>
      <c r="L71" s="4">
        <v>0.3476972525963853</v>
      </c>
      <c r="M71" s="4">
        <v>0.2092</v>
      </c>
      <c r="N71" s="4">
        <v>0.106000006</v>
      </c>
      <c r="O71" s="3" t="s">
        <v>140</v>
      </c>
      <c r="P71" s="5">
        <v>120</v>
      </c>
      <c r="Q71" s="5">
        <v>159.0357</v>
      </c>
      <c r="R71" s="5">
        <v>163.5</v>
      </c>
      <c r="S71" s="5">
        <v>175</v>
      </c>
      <c r="T71" s="7">
        <v>9.4</v>
      </c>
      <c r="U71" s="7">
        <v>12.45485</v>
      </c>
      <c r="V71" s="7">
        <v>13.77505</v>
      </c>
    </row>
    <row r="72" spans="1:22" ht="18" customHeight="1">
      <c r="A72" s="3" t="s">
        <v>141</v>
      </c>
      <c r="B72" s="4">
        <v>0.00156854</v>
      </c>
      <c r="C72" s="4">
        <v>0.3582559420028937</v>
      </c>
      <c r="D72" s="4">
        <v>-0.2714025808159432</v>
      </c>
      <c r="E72" s="4">
        <v>-0.06915398687002394</v>
      </c>
      <c r="F72" s="4">
        <v>-0.05156715261385703</v>
      </c>
      <c r="G72" s="4">
        <v>0.1305822021821572</v>
      </c>
      <c r="H72" s="15"/>
      <c r="I72" s="6">
        <v>79.60500335693359</v>
      </c>
      <c r="J72" s="7">
        <v>35.53795</v>
      </c>
      <c r="K72" s="7">
        <v>15.335551</v>
      </c>
      <c r="L72" s="4">
        <v>0.189431589611222</v>
      </c>
      <c r="M72" s="4">
        <v>0.3671</v>
      </c>
      <c r="N72" s="4">
        <v>0.107</v>
      </c>
      <c r="O72" s="3" t="s">
        <v>141</v>
      </c>
      <c r="P72" s="5">
        <v>58</v>
      </c>
      <c r="Q72" s="5">
        <v>74.09999999999999</v>
      </c>
      <c r="R72" s="5">
        <v>75.5</v>
      </c>
      <c r="S72" s="5">
        <v>90</v>
      </c>
      <c r="T72" s="7">
        <v>2.23</v>
      </c>
      <c r="U72" s="7">
        <v>4.68913</v>
      </c>
      <c r="V72" s="7">
        <v>5.19088</v>
      </c>
    </row>
    <row r="73" spans="1:22" ht="18" customHeight="1">
      <c r="A73" s="3" t="s">
        <v>142</v>
      </c>
      <c r="B73" s="4">
        <v>0.00149568</v>
      </c>
      <c r="C73" s="4">
        <v>0.5314726138035288</v>
      </c>
      <c r="D73" s="4">
        <v>-0.2582227307632956</v>
      </c>
      <c r="E73" s="4">
        <v>-0.1549716822981133</v>
      </c>
      <c r="F73" s="4">
        <v>-0.1848601436959292</v>
      </c>
      <c r="G73" s="4">
        <v>-0.03541783670684961</v>
      </c>
      <c r="H73" s="15"/>
      <c r="I73" s="6">
        <v>368.0350036621094</v>
      </c>
      <c r="J73" s="7">
        <v>49.600403</v>
      </c>
      <c r="K73" s="7">
        <v>25.26729</v>
      </c>
      <c r="L73" s="4">
        <v>0.5991847796997578</v>
      </c>
      <c r="M73" s="4">
        <v>0.2669</v>
      </c>
      <c r="N73" s="4">
        <v>0.1792</v>
      </c>
      <c r="O73" s="3" t="s">
        <v>142</v>
      </c>
      <c r="P73" s="5">
        <v>273</v>
      </c>
      <c r="Q73" s="5">
        <v>311</v>
      </c>
      <c r="R73" s="5">
        <v>300</v>
      </c>
      <c r="S73" s="5">
        <v>355</v>
      </c>
      <c r="T73" s="7">
        <v>5.92</v>
      </c>
      <c r="U73" s="7">
        <v>12.35264</v>
      </c>
      <c r="V73" s="7">
        <v>14.56567</v>
      </c>
    </row>
    <row r="74" spans="1:22" ht="18" customHeight="1">
      <c r="A74" s="3" t="s">
        <v>143</v>
      </c>
      <c r="B74" s="4">
        <v>0.00145476</v>
      </c>
      <c r="C74" s="4">
        <v>0.04813074524234495</v>
      </c>
      <c r="D74" s="4">
        <v>-0.4738995957986464</v>
      </c>
      <c r="E74" s="4">
        <v>0.1490032827757561</v>
      </c>
      <c r="F74" s="4">
        <v>0.1983398095697497</v>
      </c>
      <c r="G74" s="4">
        <v>0.3444788107367924</v>
      </c>
      <c r="H74" s="15"/>
      <c r="I74" s="6">
        <v>171.0700073242188</v>
      </c>
      <c r="J74" s="7">
        <v>34.68864</v>
      </c>
      <c r="K74" s="7">
        <v>23.499496</v>
      </c>
      <c r="L74" s="4">
        <v>0.5984412093628524</v>
      </c>
      <c r="M74" s="4">
        <v>0.2047</v>
      </c>
      <c r="N74" s="4">
        <v>0.1868</v>
      </c>
      <c r="O74" s="3" t="s">
        <v>143</v>
      </c>
      <c r="P74" s="5">
        <v>90</v>
      </c>
      <c r="Q74" s="5">
        <v>196.56</v>
      </c>
      <c r="R74" s="5">
        <v>205</v>
      </c>
      <c r="S74" s="5">
        <v>230</v>
      </c>
      <c r="T74" s="7">
        <v>4.83</v>
      </c>
      <c r="U74" s="7">
        <v>6.13195</v>
      </c>
      <c r="V74" s="7">
        <v>7.27739</v>
      </c>
    </row>
    <row r="75" spans="1:22" ht="18" customHeight="1">
      <c r="A75" s="3" t="s">
        <v>144</v>
      </c>
      <c r="B75" s="4">
        <v>0.00142041</v>
      </c>
      <c r="C75" s="4">
        <v>0.05181674265938763</v>
      </c>
      <c r="D75" s="4">
        <v>-0.3500498746400275</v>
      </c>
      <c r="E75" s="4">
        <v>0.222154989315636</v>
      </c>
      <c r="F75" s="4">
        <v>0.2481996725663109</v>
      </c>
      <c r="G75" s="4">
        <v>0.4771593758181194</v>
      </c>
      <c r="H75" s="15"/>
      <c r="I75" s="6">
        <v>135.3950042724609</v>
      </c>
      <c r="J75" s="7">
        <v>41.278965</v>
      </c>
      <c r="K75" s="7">
        <v>17.718473</v>
      </c>
      <c r="L75" s="4">
        <v>0.9782482941429378</v>
      </c>
      <c r="M75" s="4">
        <v>0.3673</v>
      </c>
      <c r="N75" s="4">
        <v>0.0958</v>
      </c>
      <c r="O75" s="3" t="s">
        <v>144</v>
      </c>
      <c r="P75" s="5">
        <v>88</v>
      </c>
      <c r="Q75" s="5">
        <v>165.47368</v>
      </c>
      <c r="R75" s="5">
        <v>169</v>
      </c>
      <c r="S75" s="5">
        <v>200</v>
      </c>
      <c r="T75" s="7">
        <v>0.82</v>
      </c>
      <c r="U75" s="7">
        <v>6.9733</v>
      </c>
      <c r="V75" s="7">
        <v>7.64146</v>
      </c>
    </row>
    <row r="76" spans="1:22" ht="18" customHeight="1">
      <c r="A76" s="3" t="s">
        <v>145</v>
      </c>
      <c r="B76" s="4">
        <v>0.00131955</v>
      </c>
      <c r="C76" s="4">
        <v>0.06639324799044055</v>
      </c>
      <c r="D76" s="4">
        <v>-0.0407673548910662</v>
      </c>
      <c r="E76" s="4">
        <v>0.1084959948435347</v>
      </c>
      <c r="F76" s="4">
        <v>0.1102229688760807</v>
      </c>
      <c r="G76" s="4">
        <v>0.2434497251412107</v>
      </c>
      <c r="H76" s="15"/>
      <c r="I76" s="6">
        <v>112.5899963378906</v>
      </c>
      <c r="J76" s="7">
        <v>22.563126</v>
      </c>
      <c r="K76" s="7">
        <v>18.753092</v>
      </c>
      <c r="L76" s="4">
        <v>0.1602382921756431</v>
      </c>
      <c r="M76" s="4">
        <v>0.0619</v>
      </c>
      <c r="N76" s="4">
        <v>0.07290000000000001</v>
      </c>
      <c r="O76" s="3" t="s">
        <v>145</v>
      </c>
      <c r="P76" s="5">
        <v>108</v>
      </c>
      <c r="Q76" s="5">
        <v>124.80556</v>
      </c>
      <c r="R76" s="5">
        <v>125</v>
      </c>
      <c r="S76" s="5">
        <v>140</v>
      </c>
      <c r="T76" s="7">
        <v>4.81</v>
      </c>
      <c r="U76" s="7">
        <v>5.59444</v>
      </c>
      <c r="V76" s="7">
        <v>6.01375</v>
      </c>
    </row>
    <row r="77" spans="1:22" ht="18" customHeight="1">
      <c r="A77" s="3" t="s">
        <v>146</v>
      </c>
      <c r="B77" s="4">
        <v>0.00130497</v>
      </c>
      <c r="C77" s="4">
        <v>0.09550055981170913</v>
      </c>
      <c r="D77" s="4">
        <v>-0.02834389917829783</v>
      </c>
      <c r="E77" s="4">
        <v>0.09755666266597762</v>
      </c>
      <c r="F77" s="4">
        <v>0.1138496765517074</v>
      </c>
      <c r="G77" s="4">
        <v>0.18494646441671</v>
      </c>
      <c r="H77" s="15"/>
      <c r="I77" s="6">
        <v>42.19599914550781</v>
      </c>
      <c r="J77" s="7">
        <v>25.887115</v>
      </c>
      <c r="K77" s="7">
        <v>20.262087</v>
      </c>
      <c r="L77" s="4">
        <v>0.2468650521344715</v>
      </c>
      <c r="M77" s="4">
        <v>0.08459999999999999</v>
      </c>
      <c r="N77" s="4">
        <v>0.09090000400000001</v>
      </c>
      <c r="O77" s="3" t="s">
        <v>146</v>
      </c>
      <c r="P77" s="5">
        <v>41</v>
      </c>
      <c r="Q77" s="5">
        <v>46.3125</v>
      </c>
      <c r="R77" s="5">
        <v>47</v>
      </c>
      <c r="S77" s="5">
        <v>50</v>
      </c>
      <c r="T77" s="7">
        <v>1.6</v>
      </c>
      <c r="U77" s="7">
        <v>1.90897</v>
      </c>
      <c r="V77" s="7">
        <v>2.08251</v>
      </c>
    </row>
    <row r="78" spans="1:22" ht="18" customHeight="1">
      <c r="A78" s="3" t="s">
        <v>147</v>
      </c>
      <c r="B78" s="4">
        <v>0.00125609</v>
      </c>
      <c r="C78" s="4">
        <v>0.1658908752229682</v>
      </c>
      <c r="D78" s="4">
        <v>-0.1020559584070421</v>
      </c>
      <c r="E78" s="4">
        <v>0.05109471445851566</v>
      </c>
      <c r="F78" s="4">
        <v>0.08372556743977677</v>
      </c>
      <c r="G78" s="4">
        <v>0.1890017654196408</v>
      </c>
      <c r="H78" s="15"/>
      <c r="I78" s="6">
        <v>161.4799957275391</v>
      </c>
      <c r="J78" s="7">
        <v>16.926624</v>
      </c>
      <c r="K78" s="7">
        <v>13.677651</v>
      </c>
      <c r="L78" s="4">
        <v>0.3627132660456964</v>
      </c>
      <c r="M78" s="4">
        <v>0.2344</v>
      </c>
      <c r="N78" s="4">
        <v>0.09429999999999999</v>
      </c>
      <c r="O78" s="3" t="s">
        <v>147</v>
      </c>
      <c r="P78" s="5">
        <v>145</v>
      </c>
      <c r="Q78" s="5">
        <v>169.73077</v>
      </c>
      <c r="R78" s="5">
        <v>175</v>
      </c>
      <c r="S78" s="5">
        <v>192</v>
      </c>
      <c r="T78" s="7">
        <v>8.74</v>
      </c>
      <c r="U78" s="7">
        <v>11.20353</v>
      </c>
      <c r="V78" s="7">
        <v>11.70462</v>
      </c>
    </row>
    <row r="79" spans="1:22" ht="18" customHeight="1">
      <c r="A79" s="3" t="s">
        <v>148</v>
      </c>
      <c r="B79" s="4">
        <v>0.00123579</v>
      </c>
      <c r="C79" s="4">
        <v>0.4798955542540047</v>
      </c>
      <c r="D79" s="4">
        <v>-0.6080480169068598</v>
      </c>
      <c r="E79" s="4">
        <v>-0.01372785513461561</v>
      </c>
      <c r="F79" s="4">
        <v>-0.004588803744006498</v>
      </c>
      <c r="G79" s="4">
        <v>0.2424990818514527</v>
      </c>
      <c r="H79" s="15"/>
      <c r="I79" s="6">
        <v>212.4750061035156</v>
      </c>
      <c r="J79" s="9" t="s">
        <v>79</v>
      </c>
      <c r="K79" s="7">
        <v>19.887959</v>
      </c>
      <c r="L79" s="4">
        <v>0.6939440052621875</v>
      </c>
      <c r="M79" s="4">
        <v>0.153227005</v>
      </c>
      <c r="N79" s="4">
        <v>-0.0574</v>
      </c>
      <c r="O79" s="3" t="s">
        <v>148</v>
      </c>
      <c r="P79" s="5">
        <v>83.28</v>
      </c>
      <c r="Q79" s="5">
        <v>209.55818</v>
      </c>
      <c r="R79" s="5">
        <v>211.5</v>
      </c>
      <c r="S79" s="5">
        <v>264</v>
      </c>
      <c r="T79" s="7">
        <v>-11.2</v>
      </c>
      <c r="U79" s="7">
        <v>11.31496</v>
      </c>
      <c r="V79" s="7">
        <v>10.66518</v>
      </c>
    </row>
    <row r="80" spans="1:22" ht="18" customHeight="1">
      <c r="A80" s="3" t="s">
        <v>149</v>
      </c>
      <c r="B80" s="4">
        <v>0.00121646</v>
      </c>
      <c r="C80" s="4">
        <v>0.07900191758428221</v>
      </c>
      <c r="D80" s="4">
        <v>-0.09205962758410957</v>
      </c>
      <c r="E80" s="4">
        <v>0.04700789343146594</v>
      </c>
      <c r="F80" s="4">
        <v>0.05651243335667244</v>
      </c>
      <c r="G80" s="4">
        <v>0.13354979828893</v>
      </c>
      <c r="H80" s="15"/>
      <c r="I80" s="6">
        <v>181.7299957275391</v>
      </c>
      <c r="J80" s="7">
        <v>22.38054</v>
      </c>
      <c r="K80" s="7">
        <v>20.460943</v>
      </c>
      <c r="L80" s="4">
        <v>0.2394550801560258</v>
      </c>
      <c r="M80" s="4">
        <v>0.1166</v>
      </c>
      <c r="N80" s="4">
        <v>0.066300005</v>
      </c>
      <c r="O80" s="3" t="s">
        <v>149</v>
      </c>
      <c r="P80" s="5">
        <v>165</v>
      </c>
      <c r="Q80" s="5">
        <v>190.27274</v>
      </c>
      <c r="R80" s="5">
        <v>192</v>
      </c>
      <c r="S80" s="5">
        <v>206</v>
      </c>
      <c r="T80" s="7">
        <v>7.46</v>
      </c>
      <c r="U80" s="7">
        <v>8.32978</v>
      </c>
      <c r="V80" s="7">
        <v>8.8818</v>
      </c>
    </row>
    <row r="81" spans="1:22" ht="18" customHeight="1">
      <c r="A81" s="3" t="s">
        <v>150</v>
      </c>
      <c r="B81" s="4">
        <v>0.00117326</v>
      </c>
      <c r="C81" s="4">
        <v>0.03443305429060928</v>
      </c>
      <c r="D81" s="4">
        <v>-0.1140051267120429</v>
      </c>
      <c r="E81" s="4">
        <v>0.1602866102253269</v>
      </c>
      <c r="F81" s="4">
        <v>0.1475234804633179</v>
      </c>
      <c r="G81" s="4">
        <v>0.3610162210146328</v>
      </c>
      <c r="H81" s="15"/>
      <c r="I81" s="6">
        <v>187.3600006103516</v>
      </c>
      <c r="J81" s="7">
        <v>34.908752</v>
      </c>
      <c r="K81" s="7">
        <v>18.936884</v>
      </c>
      <c r="L81" s="4">
        <v>0.113497012944674</v>
      </c>
      <c r="M81" s="4">
        <v>0.3346</v>
      </c>
      <c r="N81" s="4">
        <v>0.17549999</v>
      </c>
      <c r="O81" s="3" t="s">
        <v>150</v>
      </c>
      <c r="P81" s="5">
        <v>166</v>
      </c>
      <c r="Q81" s="5">
        <v>217.3913</v>
      </c>
      <c r="R81" s="5">
        <v>215</v>
      </c>
      <c r="S81" s="5">
        <v>255</v>
      </c>
      <c r="T81" s="7">
        <v>4.34</v>
      </c>
      <c r="U81" s="7">
        <v>8.421620000000001</v>
      </c>
      <c r="V81" s="7">
        <v>9.8992</v>
      </c>
    </row>
    <row r="82" spans="1:22" ht="18" customHeight="1">
      <c r="A82" s="3" t="s">
        <v>151</v>
      </c>
      <c r="B82" s="4">
        <v>0.0010956</v>
      </c>
      <c r="C82" s="4">
        <v>-0.1683761806957264</v>
      </c>
      <c r="D82" s="4">
        <v>-0.07881470307564431</v>
      </c>
      <c r="E82" s="4">
        <v>0.3216584839030492</v>
      </c>
      <c r="F82" s="4">
        <v>0.3672329143824646</v>
      </c>
      <c r="G82" s="4">
        <v>0.5708633484394277</v>
      </c>
      <c r="H82" s="15"/>
      <c r="I82" s="6">
        <v>515.6400146484375</v>
      </c>
      <c r="J82" s="7">
        <v>20.09509</v>
      </c>
      <c r="K82" s="7">
        <v>16.295723</v>
      </c>
      <c r="L82" s="4">
        <v>0.4097539486507407</v>
      </c>
      <c r="M82" s="4">
        <v>0.11359999</v>
      </c>
      <c r="N82" s="4">
        <v>0.1082</v>
      </c>
      <c r="O82" s="3" t="s">
        <v>151</v>
      </c>
      <c r="P82" s="5">
        <v>475</v>
      </c>
      <c r="Q82" s="5">
        <v>681.5</v>
      </c>
      <c r="R82" s="5">
        <v>705</v>
      </c>
      <c r="S82" s="5">
        <v>810</v>
      </c>
      <c r="T82" s="7">
        <v>25.34</v>
      </c>
      <c r="U82" s="7">
        <v>28.57157</v>
      </c>
      <c r="V82" s="7">
        <v>31.63745</v>
      </c>
    </row>
    <row r="83" spans="1:22" ht="18" customHeight="1">
      <c r="A83" s="3" t="s">
        <v>152</v>
      </c>
      <c r="B83" s="4">
        <v>0.00106138</v>
      </c>
      <c r="C83" s="4">
        <v>-0.1659056084534057</v>
      </c>
      <c r="D83" s="4">
        <v>-0.3030347308591881</v>
      </c>
      <c r="E83" s="4">
        <v>0.4588172788331446</v>
      </c>
      <c r="F83" s="4">
        <v>0.4592710322635749</v>
      </c>
      <c r="G83" s="4">
        <v>1.105415917196203</v>
      </c>
      <c r="H83" s="15"/>
      <c r="I83" s="6">
        <v>137.7400054931641</v>
      </c>
      <c r="J83" s="7">
        <v>151.36264</v>
      </c>
      <c r="K83" s="7">
        <v>12.105617</v>
      </c>
      <c r="L83" s="4">
        <v>0.7402541727322209</v>
      </c>
      <c r="M83" s="4">
        <v>0.0837</v>
      </c>
      <c r="N83" s="4">
        <v>0.2742</v>
      </c>
      <c r="O83" s="3" t="s">
        <v>152</v>
      </c>
      <c r="P83" s="5">
        <v>96</v>
      </c>
      <c r="Q83" s="5">
        <v>200.9375</v>
      </c>
      <c r="R83" s="5">
        <v>201</v>
      </c>
      <c r="S83" s="5">
        <v>290</v>
      </c>
      <c r="T83" s="7">
        <v>4.01</v>
      </c>
      <c r="U83" s="7">
        <v>8.929959999999999</v>
      </c>
      <c r="V83" s="7">
        <v>11.37819</v>
      </c>
    </row>
    <row r="84" spans="1:22" ht="18" customHeight="1">
      <c r="A84" s="3" t="s">
        <v>153</v>
      </c>
      <c r="B84" s="4">
        <v>0.00100085</v>
      </c>
      <c r="C84" s="4">
        <v>-0.08177151901542834</v>
      </c>
      <c r="D84" s="4">
        <v>-0.06918630116746538</v>
      </c>
      <c r="E84" s="4">
        <v>0.2440192022267396</v>
      </c>
      <c r="F84" s="4">
        <v>0.2494143608490398</v>
      </c>
      <c r="G84" s="4">
        <v>0.4368265149763957</v>
      </c>
      <c r="H84" s="15"/>
      <c r="I84" s="6">
        <v>320.1499938964844</v>
      </c>
      <c r="J84" s="7">
        <v>20.788961</v>
      </c>
      <c r="K84" s="7">
        <v>15.589315</v>
      </c>
      <c r="L84" s="4">
        <v>0.8550890784848713</v>
      </c>
      <c r="M84" s="4">
        <v>0.1337</v>
      </c>
      <c r="N84" s="4">
        <v>0.17709999</v>
      </c>
      <c r="O84" s="3" t="s">
        <v>153</v>
      </c>
      <c r="P84" s="5">
        <v>298</v>
      </c>
      <c r="Q84" s="5">
        <v>398.27274</v>
      </c>
      <c r="R84" s="5">
        <v>400</v>
      </c>
      <c r="S84" s="5">
        <v>460</v>
      </c>
      <c r="T84" s="7">
        <v>15.39</v>
      </c>
      <c r="U84" s="7">
        <v>17.44725</v>
      </c>
      <c r="V84" s="7">
        <v>20.5365</v>
      </c>
    </row>
    <row r="85" spans="1:22" ht="18" customHeight="1">
      <c r="A85" s="3" t="s">
        <v>154</v>
      </c>
      <c r="B85" s="4">
        <v>0.00098481</v>
      </c>
      <c r="C85" s="4">
        <v>0.02169760408074639</v>
      </c>
      <c r="D85" s="4">
        <v>-0.3877090603111375</v>
      </c>
      <c r="E85" s="4">
        <v>-0.05209995709384463</v>
      </c>
      <c r="F85" s="4">
        <v>-0.02677966428401857</v>
      </c>
      <c r="G85" s="4">
        <v>0.1665753693019381</v>
      </c>
      <c r="H85" s="15"/>
      <c r="I85" s="6">
        <v>155.1549987792969</v>
      </c>
      <c r="J85" s="7">
        <v>25.065428</v>
      </c>
      <c r="K85" s="7">
        <v>22.766558</v>
      </c>
      <c r="L85" s="4">
        <v>0.3708905563154441</v>
      </c>
      <c r="M85" s="4">
        <v>0.1304</v>
      </c>
      <c r="N85" s="4">
        <v>0.014099999</v>
      </c>
      <c r="O85" s="3" t="s">
        <v>154</v>
      </c>
      <c r="P85" s="5">
        <v>95</v>
      </c>
      <c r="Q85" s="5">
        <v>147.07143</v>
      </c>
      <c r="R85" s="5">
        <v>151</v>
      </c>
      <c r="S85" s="5">
        <v>181</v>
      </c>
      <c r="T85" s="7">
        <v>5.95</v>
      </c>
      <c r="U85" s="7">
        <v>6.75784</v>
      </c>
      <c r="V85" s="7">
        <v>6.91559</v>
      </c>
    </row>
    <row r="86" spans="1:22" ht="18" customHeight="1">
      <c r="A86" s="3" t="s">
        <v>155</v>
      </c>
      <c r="B86" s="4">
        <v>0.00097125</v>
      </c>
      <c r="C86" s="4">
        <v>-0.0006471632790889803</v>
      </c>
      <c r="D86" s="4">
        <v>0.1049723452735778</v>
      </c>
      <c r="E86" s="4">
        <v>0.2003781381146612</v>
      </c>
      <c r="F86" s="4">
        <v>0.1951741693775433</v>
      </c>
      <c r="G86" s="4">
        <v>0.2628255374555175</v>
      </c>
      <c r="H86" s="15"/>
      <c r="I86" s="6">
        <v>44.34500122070312</v>
      </c>
      <c r="J86" s="7">
        <v>24.100544</v>
      </c>
      <c r="K86" s="7">
        <v>15.051235</v>
      </c>
      <c r="L86" s="4">
        <v>0.1687859247176076</v>
      </c>
      <c r="M86" s="4">
        <v>0.0718</v>
      </c>
      <c r="N86" s="4">
        <v>0.078</v>
      </c>
      <c r="O86" s="3" t="s">
        <v>155</v>
      </c>
      <c r="P86" s="5">
        <v>49</v>
      </c>
      <c r="Q86" s="5">
        <v>53.23077</v>
      </c>
      <c r="R86" s="5">
        <v>53</v>
      </c>
      <c r="S86" s="5">
        <v>56</v>
      </c>
      <c r="T86" s="7">
        <v>1.76</v>
      </c>
      <c r="U86" s="7">
        <v>2.73299</v>
      </c>
      <c r="V86" s="7">
        <v>2.94627</v>
      </c>
    </row>
    <row r="87" spans="1:22" ht="18" customHeight="1">
      <c r="A87" s="3" t="s">
        <v>156</v>
      </c>
      <c r="B87" s="4">
        <v>0.00089361</v>
      </c>
      <c r="C87" s="4">
        <v>0.1396948573293462</v>
      </c>
      <c r="D87" s="4">
        <v>-0.09330520418021648</v>
      </c>
      <c r="E87" s="4">
        <v>0.07839453500790161</v>
      </c>
      <c r="F87" s="4">
        <v>0.09646812517741266</v>
      </c>
      <c r="G87" s="4">
        <v>0.1597259016299557</v>
      </c>
      <c r="H87" s="15"/>
      <c r="I87" s="6">
        <v>47.42499923706055</v>
      </c>
      <c r="J87" s="7">
        <v>23.594526</v>
      </c>
      <c r="K87" s="7">
        <v>21.162333</v>
      </c>
      <c r="L87" s="4">
        <v>0.1810005168932496</v>
      </c>
      <c r="M87" s="4">
        <v>0.08220000600000001</v>
      </c>
      <c r="N87" s="4">
        <v>0.089899994</v>
      </c>
      <c r="O87" s="3" t="s">
        <v>156</v>
      </c>
      <c r="P87" s="5">
        <v>43</v>
      </c>
      <c r="Q87" s="5">
        <v>51.14286</v>
      </c>
      <c r="R87" s="5">
        <v>52</v>
      </c>
      <c r="S87" s="5">
        <v>55</v>
      </c>
      <c r="T87" s="7">
        <v>1.95</v>
      </c>
      <c r="U87" s="7">
        <v>2.05616</v>
      </c>
      <c r="V87" s="7">
        <v>2.24101</v>
      </c>
    </row>
    <row r="88" spans="1:22" ht="18" customHeight="1">
      <c r="A88" s="3" t="s">
        <v>157</v>
      </c>
      <c r="B88" s="4">
        <v>0.00088953</v>
      </c>
      <c r="C88" s="4">
        <v>0.1475248087624992</v>
      </c>
      <c r="D88" s="4">
        <v>-0.03799908036258526</v>
      </c>
      <c r="E88" s="4">
        <v>0.08976666677675893</v>
      </c>
      <c r="F88" s="4">
        <v>0.08225103459209171</v>
      </c>
      <c r="G88" s="4">
        <v>0.1904761380513007</v>
      </c>
      <c r="H88" s="15"/>
      <c r="I88" s="6">
        <v>83.16000366210938</v>
      </c>
      <c r="J88" s="7">
        <v>22.117022</v>
      </c>
      <c r="K88" s="7">
        <v>18.282068</v>
      </c>
      <c r="L88" s="4">
        <v>0.2226236873417418</v>
      </c>
      <c r="M88" s="4">
        <v>0.108100004</v>
      </c>
      <c r="N88" s="4">
        <v>0.0718</v>
      </c>
      <c r="O88" s="3" t="s">
        <v>157</v>
      </c>
      <c r="P88" s="5">
        <v>80</v>
      </c>
      <c r="Q88" s="5">
        <v>90.625</v>
      </c>
      <c r="R88" s="5">
        <v>90</v>
      </c>
      <c r="S88" s="5">
        <v>99</v>
      </c>
      <c r="T88" s="7">
        <v>3.66</v>
      </c>
      <c r="U88" s="7">
        <v>4.24415</v>
      </c>
      <c r="V88" s="7">
        <v>4.54872</v>
      </c>
    </row>
    <row r="89" spans="1:22" ht="18" customHeight="1">
      <c r="A89" s="3" t="s">
        <v>158</v>
      </c>
      <c r="B89" s="4">
        <v>0.0008594400000000001</v>
      </c>
      <c r="C89" s="4">
        <v>0.3776621179194379</v>
      </c>
      <c r="D89" s="4">
        <v>-0.08587638970897649</v>
      </c>
      <c r="E89" s="4">
        <v>0.1190133850114254</v>
      </c>
      <c r="F89" s="4">
        <v>0.1426545128637795</v>
      </c>
      <c r="G89" s="4">
        <v>0.1820563926177028</v>
      </c>
      <c r="H89" s="15"/>
      <c r="I89" s="6">
        <v>126.8974990844727</v>
      </c>
      <c r="J89" s="7">
        <v>33.394077</v>
      </c>
      <c r="K89" s="7">
        <v>11.656955</v>
      </c>
      <c r="L89" s="4">
        <v>0.1885235093228301</v>
      </c>
      <c r="M89" s="4">
        <v>0.2458</v>
      </c>
      <c r="N89" s="4">
        <v>0.1543</v>
      </c>
      <c r="O89" s="3" t="s">
        <v>158</v>
      </c>
      <c r="P89" s="5">
        <v>116</v>
      </c>
      <c r="Q89" s="5">
        <v>142</v>
      </c>
      <c r="R89" s="5">
        <v>145</v>
      </c>
      <c r="S89" s="5">
        <v>150</v>
      </c>
      <c r="T89" s="7">
        <v>4.219046</v>
      </c>
      <c r="U89" s="7">
        <v>9.43066</v>
      </c>
      <c r="V89" s="7">
        <v>10.88599</v>
      </c>
    </row>
    <row r="90" spans="1:22" ht="18" customHeight="1">
      <c r="A90" s="3" t="s">
        <v>159</v>
      </c>
      <c r="B90" s="4">
        <v>0.00078711</v>
      </c>
      <c r="C90" s="4">
        <v>-0.2913077356087929</v>
      </c>
      <c r="D90" s="4">
        <v>-0.1160220994475138</v>
      </c>
      <c r="E90" s="4">
        <v>0.3778524861878454</v>
      </c>
      <c r="F90" s="4">
        <v>0.3922651933701657</v>
      </c>
      <c r="G90" s="4">
        <v>0.8232044198895028</v>
      </c>
      <c r="H90" s="15"/>
      <c r="I90" s="6">
        <v>90.5</v>
      </c>
      <c r="J90" s="7">
        <v>15.23569</v>
      </c>
      <c r="K90" s="7">
        <v>12.252247</v>
      </c>
      <c r="L90" s="4">
        <v>0.6086046838315902</v>
      </c>
      <c r="M90" s="4">
        <v>0.1658</v>
      </c>
      <c r="N90" s="4">
        <v>0.1019</v>
      </c>
      <c r="O90" s="3" t="s">
        <v>159</v>
      </c>
      <c r="P90" s="5">
        <v>80</v>
      </c>
      <c r="Q90" s="5">
        <v>124.69565</v>
      </c>
      <c r="R90" s="5">
        <v>126</v>
      </c>
      <c r="S90" s="5">
        <v>165</v>
      </c>
      <c r="T90" s="7">
        <v>6.22</v>
      </c>
      <c r="U90" s="7">
        <v>6.7034</v>
      </c>
      <c r="V90" s="7">
        <v>7.3864</v>
      </c>
    </row>
    <row r="91" spans="1:22" ht="18" customHeight="1">
      <c r="A91" s="3" t="s">
        <v>160</v>
      </c>
      <c r="B91" s="4">
        <v>0.00074999</v>
      </c>
      <c r="C91" s="4">
        <v>-0.01089584227443552</v>
      </c>
      <c r="D91" s="9" t="s">
        <v>79</v>
      </c>
      <c r="E91" s="9" t="s">
        <v>79</v>
      </c>
      <c r="F91" s="9" t="s">
        <v>79</v>
      </c>
      <c r="G91" s="9" t="s">
        <v>79</v>
      </c>
      <c r="H91" s="15"/>
      <c r="I91" s="6">
        <v>103.4599990844727</v>
      </c>
      <c r="J91" s="7">
        <v>13.162849</v>
      </c>
      <c r="K91" s="7">
        <v>35.67586</v>
      </c>
      <c r="L91" s="4">
        <v>0.2546772411221414</v>
      </c>
      <c r="M91" s="4">
        <v>0.2188</v>
      </c>
      <c r="N91" s="4">
        <v>0.152</v>
      </c>
      <c r="O91" s="3" t="s">
        <v>160</v>
      </c>
      <c r="P91" s="9" t="s">
        <v>79</v>
      </c>
      <c r="Q91" s="9" t="s">
        <v>79</v>
      </c>
      <c r="R91" s="9" t="s">
        <v>79</v>
      </c>
      <c r="S91" s="9" t="s">
        <v>79</v>
      </c>
      <c r="T91" s="7">
        <v>7.97</v>
      </c>
      <c r="U91" s="9" t="s">
        <v>79</v>
      </c>
      <c r="V91" s="9" t="s">
        <v>79</v>
      </c>
    </row>
    <row r="92" spans="1:22" ht="18" customHeight="1">
      <c r="A92" s="3" t="s">
        <v>161</v>
      </c>
      <c r="B92" s="4">
        <v>0.0007340000000000001</v>
      </c>
      <c r="C92" s="4">
        <v>-0.3079029263594458</v>
      </c>
      <c r="D92" s="4">
        <v>0.2631745063239979</v>
      </c>
      <c r="E92" s="4">
        <v>0.5073506384556057</v>
      </c>
      <c r="F92" s="4">
        <v>0.5315990889178475</v>
      </c>
      <c r="G92" s="4">
        <v>0.7763391495181222</v>
      </c>
      <c r="H92" s="15"/>
      <c r="I92" s="6">
        <v>126.6650009155273</v>
      </c>
      <c r="J92" s="7">
        <v>11.588746</v>
      </c>
      <c r="K92" s="7">
        <v>9.621243</v>
      </c>
      <c r="L92" s="4">
        <v>0.2717369632030018</v>
      </c>
      <c r="M92" s="4">
        <v>0.0276</v>
      </c>
      <c r="N92" s="4">
        <v>0.06850000000000001</v>
      </c>
      <c r="O92" s="3" t="s">
        <v>161</v>
      </c>
      <c r="P92" s="5">
        <v>160</v>
      </c>
      <c r="Q92" s="5">
        <v>190.92857</v>
      </c>
      <c r="R92" s="5">
        <v>194</v>
      </c>
      <c r="S92" s="5">
        <v>225</v>
      </c>
      <c r="T92" s="7">
        <v>11.14</v>
      </c>
      <c r="U92" s="7">
        <v>12.3207</v>
      </c>
      <c r="V92" s="7">
        <v>13.16514</v>
      </c>
    </row>
    <row r="93" spans="1:22" ht="18" customHeight="1">
      <c r="A93" s="3" t="s">
        <v>162</v>
      </c>
      <c r="B93" s="4">
        <v>0.0007062</v>
      </c>
      <c r="C93" s="4">
        <v>-0.1030320702430644</v>
      </c>
      <c r="D93" s="4">
        <v>-0.05249195440088616</v>
      </c>
      <c r="E93" s="4">
        <v>0.2175478385948613</v>
      </c>
      <c r="F93" s="4">
        <v>0.2696607811028127</v>
      </c>
      <c r="G93" s="4">
        <v>0.3644115856627239</v>
      </c>
      <c r="H93" s="15"/>
      <c r="I93" s="6">
        <v>52.77000045776367</v>
      </c>
      <c r="J93" s="7">
        <v>48.41284</v>
      </c>
      <c r="K93" s="7">
        <v>37.844776</v>
      </c>
      <c r="L93" s="4">
        <v>0.3194822304393179</v>
      </c>
      <c r="M93" s="4">
        <v>0.111899994</v>
      </c>
      <c r="N93" s="4">
        <v>0.1197</v>
      </c>
      <c r="O93" s="3" t="s">
        <v>162</v>
      </c>
      <c r="P93" s="5">
        <v>50</v>
      </c>
      <c r="Q93" s="5">
        <v>64.25</v>
      </c>
      <c r="R93" s="5">
        <v>67</v>
      </c>
      <c r="S93" s="5">
        <v>72</v>
      </c>
      <c r="T93" s="7">
        <v>1.09</v>
      </c>
      <c r="U93" s="7">
        <v>1.24532</v>
      </c>
      <c r="V93" s="7">
        <v>1.39438</v>
      </c>
    </row>
    <row r="94" spans="1:22" ht="18" customHeight="1">
      <c r="A94" s="3" t="s">
        <v>163</v>
      </c>
      <c r="B94" s="4">
        <v>0.00066971</v>
      </c>
      <c r="C94" s="4">
        <v>0.1584687265377163</v>
      </c>
      <c r="D94" s="4">
        <v>-0.004818762716157221</v>
      </c>
      <c r="E94" s="4">
        <v>0.1914239586295958</v>
      </c>
      <c r="F94" s="4">
        <v>0.2046930767120203</v>
      </c>
      <c r="G94" s="4">
        <v>0.3094489964261089</v>
      </c>
      <c r="H94" s="15"/>
      <c r="I94" s="6">
        <v>95.45999908447266</v>
      </c>
      <c r="J94" s="9" t="s">
        <v>79</v>
      </c>
      <c r="K94" s="7">
        <v>15.060726</v>
      </c>
      <c r="L94" s="4">
        <v>0.5111206558135473</v>
      </c>
      <c r="M94" s="4">
        <v>0.045100003</v>
      </c>
      <c r="N94" s="4">
        <v>0.094799995</v>
      </c>
      <c r="O94" s="3" t="s">
        <v>163</v>
      </c>
      <c r="P94" s="5">
        <v>95</v>
      </c>
      <c r="Q94" s="5">
        <v>113.73333</v>
      </c>
      <c r="R94" s="5">
        <v>115</v>
      </c>
      <c r="S94" s="5">
        <v>125</v>
      </c>
      <c r="T94" s="7">
        <v>-2.3</v>
      </c>
      <c r="U94" s="7">
        <v>5.78972</v>
      </c>
      <c r="V94" s="7">
        <v>6.33834</v>
      </c>
    </row>
    <row r="95" spans="1:22" ht="18" customHeight="1">
      <c r="A95" s="3" t="s">
        <v>164</v>
      </c>
      <c r="B95" s="4">
        <v>0.00059464</v>
      </c>
      <c r="C95" s="4">
        <v>-0.09652521371154921</v>
      </c>
      <c r="D95" s="4">
        <v>-0.3214205180832118</v>
      </c>
      <c r="E95" s="4">
        <v>0.07064762702426597</v>
      </c>
      <c r="F95" s="4">
        <v>0.05556808298167049</v>
      </c>
      <c r="G95" s="4">
        <v>0.4627157721317434</v>
      </c>
      <c r="H95" s="15"/>
      <c r="I95" s="6">
        <v>66.31500244140625</v>
      </c>
      <c r="J95" s="7">
        <v>15.902878</v>
      </c>
      <c r="K95" s="7">
        <v>12.855756</v>
      </c>
      <c r="L95" s="4">
        <v>0.5056319736165089</v>
      </c>
      <c r="M95" s="4">
        <v>-0.0286</v>
      </c>
      <c r="N95" s="4">
        <v>0.111</v>
      </c>
      <c r="O95" s="3" t="s">
        <v>164</v>
      </c>
      <c r="P95" s="5">
        <v>45</v>
      </c>
      <c r="Q95" s="5">
        <v>71</v>
      </c>
      <c r="R95" s="5">
        <v>70</v>
      </c>
      <c r="S95" s="5">
        <v>97</v>
      </c>
      <c r="T95" s="7">
        <v>4.91</v>
      </c>
      <c r="U95" s="7">
        <v>4.64309</v>
      </c>
      <c r="V95" s="7">
        <v>5.15839</v>
      </c>
    </row>
    <row r="96" spans="1:22" ht="18" customHeight="1">
      <c r="A96" s="3" t="s">
        <v>165</v>
      </c>
      <c r="B96" s="4">
        <v>0.00053673</v>
      </c>
      <c r="C96" s="4">
        <v>-0.04427733051965177</v>
      </c>
      <c r="D96" s="4">
        <v>-0.3661910665537217</v>
      </c>
      <c r="E96" s="4">
        <v>0.1989190561268899</v>
      </c>
      <c r="F96" s="4">
        <v>0.2430179767816281</v>
      </c>
      <c r="G96" s="4">
        <v>0.3891702650877333</v>
      </c>
      <c r="H96" s="15"/>
      <c r="I96" s="6">
        <v>345.5299987792969</v>
      </c>
      <c r="J96" s="7">
        <v>23.505442</v>
      </c>
      <c r="K96" s="7">
        <v>19.16247</v>
      </c>
      <c r="L96" s="4">
        <v>0.5463816440762603</v>
      </c>
      <c r="M96" s="4">
        <v>0.3225</v>
      </c>
      <c r="N96" s="4">
        <v>0.1058</v>
      </c>
      <c r="O96" s="3" t="s">
        <v>165</v>
      </c>
      <c r="P96" s="5">
        <v>219</v>
      </c>
      <c r="Q96" s="5">
        <v>414.2625</v>
      </c>
      <c r="R96" s="5">
        <v>429.5</v>
      </c>
      <c r="S96" s="5">
        <v>480</v>
      </c>
      <c r="T96" s="7">
        <v>11.61</v>
      </c>
      <c r="U96" s="7">
        <v>16.30669</v>
      </c>
      <c r="V96" s="7">
        <v>18.0316</v>
      </c>
    </row>
    <row r="97" spans="1:22" ht="18" customHeight="1">
      <c r="A97" s="3" t="s">
        <v>166</v>
      </c>
      <c r="B97" s="4">
        <v>0.00050394</v>
      </c>
      <c r="C97" s="4">
        <v>0.04436724292314498</v>
      </c>
      <c r="D97" s="4">
        <v>-0.06843424786292895</v>
      </c>
      <c r="E97" s="4">
        <v>0.04393981222832588</v>
      </c>
      <c r="F97" s="4">
        <v>0.03905410815288701</v>
      </c>
      <c r="G97" s="4">
        <v>0.1465424641687028</v>
      </c>
      <c r="H97" s="15"/>
      <c r="I97" s="6">
        <v>27.90999984741211</v>
      </c>
      <c r="J97" s="9" t="s">
        <v>79</v>
      </c>
      <c r="K97" s="7">
        <v>9.406396000000001</v>
      </c>
      <c r="L97" s="4">
        <v>0.5542528726217713</v>
      </c>
      <c r="M97" s="4">
        <v>0.2741</v>
      </c>
      <c r="N97" s="4">
        <v>0.1472</v>
      </c>
      <c r="O97" s="3" t="s">
        <v>166</v>
      </c>
      <c r="P97" s="5">
        <v>26</v>
      </c>
      <c r="Q97" s="5">
        <v>29.13636</v>
      </c>
      <c r="R97" s="5">
        <v>29</v>
      </c>
      <c r="S97" s="5">
        <v>32</v>
      </c>
      <c r="T97" s="7">
        <v>-1.6</v>
      </c>
      <c r="U97" s="7">
        <v>2.58647</v>
      </c>
      <c r="V97" s="7">
        <v>2.96713</v>
      </c>
    </row>
    <row r="98" spans="1:22" ht="18" customHeight="1">
      <c r="A98" s="3" t="s">
        <v>167</v>
      </c>
      <c r="B98" s="4">
        <v>0.00044742</v>
      </c>
      <c r="C98" s="4">
        <v>-0.1020831747812277</v>
      </c>
      <c r="D98" s="4">
        <v>-0.000378274822759983</v>
      </c>
      <c r="E98" s="4">
        <v>0.2661875005466352</v>
      </c>
      <c r="F98" s="4">
        <v>0.2670880786706098</v>
      </c>
      <c r="G98" s="4">
        <v>0.4859241860742758</v>
      </c>
      <c r="H98" s="15"/>
      <c r="I98" s="6">
        <v>185.0700073242188</v>
      </c>
      <c r="J98" s="7">
        <v>68.799255</v>
      </c>
      <c r="K98" s="7">
        <v>48.15569</v>
      </c>
      <c r="L98" s="4">
        <v>0.4827710564051486</v>
      </c>
      <c r="M98" s="4">
        <v>0.9587</v>
      </c>
      <c r="N98" s="4">
        <v>0.1753</v>
      </c>
      <c r="O98" s="3" t="s">
        <v>167</v>
      </c>
      <c r="P98" s="5">
        <v>185</v>
      </c>
      <c r="Q98" s="5">
        <v>234.33333</v>
      </c>
      <c r="R98" s="5">
        <v>234.5</v>
      </c>
      <c r="S98" s="5">
        <v>275</v>
      </c>
      <c r="T98" s="7">
        <v>0.02</v>
      </c>
      <c r="U98" s="7">
        <v>4.50588</v>
      </c>
      <c r="V98" s="7">
        <v>4.8157</v>
      </c>
    </row>
    <row r="99" spans="1:22" ht="18" customHeight="1">
      <c r="A99" s="3" t="s">
        <v>168</v>
      </c>
      <c r="B99" s="4">
        <v>0.00035088</v>
      </c>
      <c r="C99" s="4">
        <v>0</v>
      </c>
      <c r="D99" s="9" t="s">
        <v>79</v>
      </c>
      <c r="E99" s="9" t="s">
        <v>79</v>
      </c>
      <c r="F99" s="9" t="s">
        <v>79</v>
      </c>
      <c r="G99" s="9" t="s">
        <v>79</v>
      </c>
      <c r="H99" s="15"/>
      <c r="I99" s="6">
        <v>1</v>
      </c>
      <c r="J99" s="9" t="s">
        <v>79</v>
      </c>
      <c r="K99" s="9" t="s">
        <v>79</v>
      </c>
      <c r="L99" s="4">
        <v>0</v>
      </c>
      <c r="M99" s="9" t="s">
        <v>79</v>
      </c>
      <c r="N99" s="9" t="s">
        <v>79</v>
      </c>
      <c r="O99" s="3" t="s">
        <v>168</v>
      </c>
      <c r="P99" s="9" t="s">
        <v>79</v>
      </c>
      <c r="Q99" s="9" t="s">
        <v>79</v>
      </c>
      <c r="R99" s="9" t="s">
        <v>79</v>
      </c>
      <c r="S99" s="9" t="s">
        <v>79</v>
      </c>
      <c r="T99" s="9" t="s">
        <v>79</v>
      </c>
      <c r="U99" s="9" t="s">
        <v>79</v>
      </c>
      <c r="V99" s="9" t="s">
        <v>79</v>
      </c>
    </row>
    <row r="100" spans="1:22" ht="18" customHeight="1">
      <c r="A100" s="3" t="s">
        <v>169</v>
      </c>
      <c r="B100" s="4">
        <v>0.00033766</v>
      </c>
      <c r="C100" s="4">
        <v>-0.08684090810245582</v>
      </c>
      <c r="D100" s="9" t="s">
        <v>79</v>
      </c>
      <c r="E100" s="9" t="s">
        <v>79</v>
      </c>
      <c r="F100" s="9" t="s">
        <v>79</v>
      </c>
      <c r="G100" s="9" t="s">
        <v>79</v>
      </c>
      <c r="H100" s="15"/>
      <c r="I100" s="6">
        <v>59.90999984741211</v>
      </c>
      <c r="J100" s="7">
        <v>14.366906</v>
      </c>
      <c r="K100" s="7">
        <v>12.054326</v>
      </c>
      <c r="L100" s="4">
        <v>0.4185805466881596</v>
      </c>
      <c r="M100" s="4">
        <v>0.2188</v>
      </c>
      <c r="N100" s="4">
        <v>0.152</v>
      </c>
      <c r="O100" s="3" t="s">
        <v>169</v>
      </c>
      <c r="P100" s="9" t="s">
        <v>79</v>
      </c>
      <c r="Q100" s="9" t="s">
        <v>79</v>
      </c>
      <c r="R100" s="9" t="s">
        <v>79</v>
      </c>
      <c r="S100" s="9" t="s">
        <v>79</v>
      </c>
      <c r="T100" s="7">
        <v>4.91</v>
      </c>
      <c r="U100" s="9" t="s">
        <v>79</v>
      </c>
      <c r="V100" s="9" t="s">
        <v>79</v>
      </c>
    </row>
    <row r="101" spans="1:22" ht="18" customHeight="1">
      <c r="A101" s="3" t="s">
        <v>170</v>
      </c>
      <c r="B101" s="4">
        <v>0.00021334</v>
      </c>
      <c r="C101" s="4">
        <v>-0.02534781833103417</v>
      </c>
      <c r="D101" s="4">
        <v>-0.2514970401833796</v>
      </c>
      <c r="E101" s="4">
        <v>0.1290461061041626</v>
      </c>
      <c r="F101" s="4">
        <v>0.1227544397249307</v>
      </c>
      <c r="G101" s="4">
        <v>0.4970059196332408</v>
      </c>
      <c r="H101" s="15"/>
      <c r="I101" s="6">
        <v>40.08000183105469</v>
      </c>
      <c r="J101" s="7">
        <v>26.720001</v>
      </c>
      <c r="K101" s="7">
        <v>8.855874</v>
      </c>
      <c r="L101" s="4">
        <v>0.2655821356941677</v>
      </c>
      <c r="M101" s="4">
        <v>0.018327</v>
      </c>
      <c r="N101" s="4">
        <v>0.71800005</v>
      </c>
      <c r="O101" s="3" t="s">
        <v>170</v>
      </c>
      <c r="P101" s="5">
        <v>30</v>
      </c>
      <c r="Q101" s="5">
        <v>45.25217</v>
      </c>
      <c r="R101" s="5">
        <v>45</v>
      </c>
      <c r="S101" s="5">
        <v>60</v>
      </c>
      <c r="T101" s="7">
        <v>0.79</v>
      </c>
      <c r="U101" s="7">
        <v>2.63439</v>
      </c>
      <c r="V101" s="7">
        <v>4.52581</v>
      </c>
    </row>
    <row r="104" spans="1:22" ht="18" customHeight="1">
      <c r="A104" s="16" t="s">
        <v>171</v>
      </c>
      <c r="B104" s="17">
        <f>SUM(B3:B101)</f>
        <v>0</v>
      </c>
      <c r="C104" s="17">
        <f>SUMPRODUCT(B3:B101,C3:C101)</f>
        <v>0</v>
      </c>
      <c r="D104" s="17">
        <f>SUMPRODUCT(B3:B101,D3:D101)</f>
        <v>0</v>
      </c>
      <c r="E104" s="17">
        <f>SUMPRODUCT(B3:B101,E3:E101)</f>
        <v>0</v>
      </c>
      <c r="F104" s="17">
        <f>SUMPRODUCT(B3:B101,F3:F101)</f>
        <v>0</v>
      </c>
      <c r="G104" s="17">
        <f>SUMPRODUCT(B3:B101,G3:G101)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101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101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14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71</v>
      </c>
      <c r="B3" s="4">
        <v>0.1653</v>
      </c>
      <c r="C3" s="4">
        <v>0.2440609207495157</v>
      </c>
      <c r="D3" s="4">
        <v>-0.146940981876318</v>
      </c>
      <c r="E3" s="4">
        <v>0.09213382339468024</v>
      </c>
      <c r="F3" s="4">
        <v>0.09752671232476584</v>
      </c>
      <c r="G3" s="4">
        <v>0.3144796670866381</v>
      </c>
      <c r="H3" s="15"/>
      <c r="I3" s="6">
        <v>391.7900085449219</v>
      </c>
      <c r="J3" s="7">
        <v>29.884823</v>
      </c>
      <c r="K3" s="7">
        <v>27.086147</v>
      </c>
      <c r="L3" s="4">
        <v>0.6587966970922741</v>
      </c>
      <c r="M3" s="4">
        <v>0.3164</v>
      </c>
      <c r="N3" s="4">
        <v>0.0165</v>
      </c>
      <c r="O3" s="3" t="s">
        <v>71</v>
      </c>
      <c r="P3" s="5">
        <v>334.22</v>
      </c>
      <c r="Q3" s="5">
        <v>427.88712</v>
      </c>
      <c r="R3" s="5">
        <v>430</v>
      </c>
      <c r="S3" s="5">
        <v>515</v>
      </c>
      <c r="T3" s="7">
        <v>10.81</v>
      </c>
      <c r="U3" s="7">
        <v>14.22259</v>
      </c>
      <c r="V3" s="7">
        <v>14.42841</v>
      </c>
    </row>
    <row r="4" spans="1:22" ht="18" customHeight="1">
      <c r="A4" s="3" t="s">
        <v>172</v>
      </c>
      <c r="B4" s="4">
        <v>0.1544</v>
      </c>
      <c r="C4" s="4">
        <v>0.1917880902490343</v>
      </c>
      <c r="D4" s="4">
        <v>-0.2331629320299355</v>
      </c>
      <c r="E4" s="4">
        <v>0.1541507267624256</v>
      </c>
      <c r="F4" s="4">
        <v>0.1743350267947363</v>
      </c>
      <c r="G4" s="4">
        <v>0.3706749524102602</v>
      </c>
      <c r="H4" s="15"/>
      <c r="I4" s="6">
        <v>269.9400024414062</v>
      </c>
      <c r="J4" s="7">
        <v>32.250896</v>
      </c>
      <c r="K4" s="7">
        <v>27.34752</v>
      </c>
      <c r="L4" s="4">
        <v>0.04813371194604787</v>
      </c>
      <c r="M4" s="4">
        <v>0.2032</v>
      </c>
      <c r="N4" s="4">
        <v>0.1442</v>
      </c>
      <c r="O4" s="3" t="s">
        <v>172</v>
      </c>
      <c r="P4" s="5">
        <v>207</v>
      </c>
      <c r="Q4" s="5">
        <v>311.55145</v>
      </c>
      <c r="R4" s="5">
        <v>317</v>
      </c>
      <c r="S4" s="5">
        <v>370</v>
      </c>
      <c r="T4" s="7">
        <v>7.17</v>
      </c>
      <c r="U4" s="7">
        <v>8.60388</v>
      </c>
      <c r="V4" s="7">
        <v>9.86961</v>
      </c>
    </row>
    <row r="5" spans="1:22" ht="18" customHeight="1">
      <c r="A5" s="3" t="s">
        <v>72</v>
      </c>
      <c r="B5" s="4">
        <v>0.1465</v>
      </c>
      <c r="C5" s="4">
        <v>0.1710985403453384</v>
      </c>
      <c r="D5" s="4">
        <v>-0.3669454946242005</v>
      </c>
      <c r="E5" s="4">
        <v>0.2171171034532817</v>
      </c>
      <c r="F5" s="4">
        <v>0.1982817423184777</v>
      </c>
      <c r="G5" s="4">
        <v>0.7182908003057416</v>
      </c>
      <c r="H5" s="15"/>
      <c r="I5" s="6">
        <v>221.1499938964844</v>
      </c>
      <c r="J5" s="7">
        <v>45.040733</v>
      </c>
      <c r="K5" s="7">
        <v>19.595211</v>
      </c>
      <c r="L5" s="4">
        <v>0.3487891106312935</v>
      </c>
      <c r="M5" s="4">
        <v>0.7486</v>
      </c>
      <c r="N5" s="4">
        <v>0.3531</v>
      </c>
      <c r="O5" s="3" t="s">
        <v>72</v>
      </c>
      <c r="P5" s="5">
        <v>140</v>
      </c>
      <c r="Q5" s="5">
        <v>269.16544</v>
      </c>
      <c r="R5" s="5">
        <v>265</v>
      </c>
      <c r="S5" s="5">
        <v>380</v>
      </c>
      <c r="T5" s="7">
        <v>4.9</v>
      </c>
      <c r="U5" s="7">
        <v>8.34076</v>
      </c>
      <c r="V5" s="7">
        <v>11.28592</v>
      </c>
    </row>
    <row r="6" spans="1:22" ht="18" customHeight="1">
      <c r="A6" s="3" t="s">
        <v>173</v>
      </c>
      <c r="B6" s="4">
        <v>0.1368</v>
      </c>
      <c r="C6" s="4">
        <v>0.07663099626088554</v>
      </c>
      <c r="D6" s="4">
        <v>-0.2624483408563368</v>
      </c>
      <c r="E6" s="4">
        <v>0.04725797117180042</v>
      </c>
      <c r="F6" s="4">
        <v>0.06344657830016565</v>
      </c>
      <c r="G6" s="4">
        <v>0.3721891332905363</v>
      </c>
      <c r="H6" s="15"/>
      <c r="I6" s="6">
        <v>291.5050048828125</v>
      </c>
      <c r="J6" s="7">
        <v>35.248486</v>
      </c>
      <c r="K6" s="7">
        <v>30.493017</v>
      </c>
      <c r="L6" s="4">
        <v>0.1199078603174795</v>
      </c>
      <c r="M6" s="4">
        <v>0.1693</v>
      </c>
      <c r="N6" s="4">
        <v>0.0959</v>
      </c>
      <c r="O6" s="3" t="s">
        <v>173</v>
      </c>
      <c r="P6" s="5">
        <v>215</v>
      </c>
      <c r="Q6" s="5">
        <v>305.28094</v>
      </c>
      <c r="R6" s="5">
        <v>310</v>
      </c>
      <c r="S6" s="5">
        <v>400</v>
      </c>
      <c r="T6" s="7">
        <v>7.46</v>
      </c>
      <c r="U6" s="7">
        <v>8.72795</v>
      </c>
      <c r="V6" s="7">
        <v>9.606960000000001</v>
      </c>
    </row>
    <row r="7" spans="1:22" ht="18" customHeight="1">
      <c r="A7" s="3" t="s">
        <v>174</v>
      </c>
      <c r="B7" s="4">
        <v>0.1362</v>
      </c>
      <c r="C7" s="4">
        <v>0.01729171493780624</v>
      </c>
      <c r="D7" s="4">
        <v>-0.7239955501974095</v>
      </c>
      <c r="E7" s="4">
        <v>-0.07492809262272992</v>
      </c>
      <c r="F7" s="4">
        <v>0.009772377326550563</v>
      </c>
      <c r="G7" s="4">
        <v>0.3463631697687342</v>
      </c>
      <c r="H7" s="15"/>
      <c r="I7" s="6">
        <v>445.6449890136719</v>
      </c>
      <c r="J7" s="7">
        <v>416.52304</v>
      </c>
      <c r="K7" s="7">
        <v>177.27771</v>
      </c>
      <c r="L7" s="4">
        <v>0.185720319205114</v>
      </c>
      <c r="M7" s="4">
        <v>0.2343</v>
      </c>
      <c r="N7" s="4">
        <v>0.22700001</v>
      </c>
      <c r="O7" s="3" t="s">
        <v>174</v>
      </c>
      <c r="P7" s="5">
        <v>123</v>
      </c>
      <c r="Q7" s="5">
        <v>412.25366</v>
      </c>
      <c r="R7" s="5">
        <v>450</v>
      </c>
      <c r="S7" s="5">
        <v>600</v>
      </c>
      <c r="T7" s="7">
        <v>1.08</v>
      </c>
      <c r="U7" s="7">
        <v>2.04894</v>
      </c>
      <c r="V7" s="7">
        <v>2.51402</v>
      </c>
    </row>
    <row r="8" spans="1:22" ht="18" customHeight="1">
      <c r="A8" s="3" t="s">
        <v>175</v>
      </c>
      <c r="B8" s="4">
        <v>0.1325</v>
      </c>
      <c r="C8" s="4">
        <v>-0.1299169635610694</v>
      </c>
      <c r="D8" s="4">
        <v>-0.02572096069122431</v>
      </c>
      <c r="E8" s="4">
        <v>0.367780844064957</v>
      </c>
      <c r="F8" s="4">
        <v>0.3700798990279657</v>
      </c>
      <c r="G8" s="4">
        <v>1.119056910496587</v>
      </c>
      <c r="H8" s="15"/>
      <c r="I8" s="6">
        <v>410.5599975585938</v>
      </c>
      <c r="J8" s="7">
        <v>24.481812</v>
      </c>
      <c r="K8" s="7">
        <v>21.212595</v>
      </c>
      <c r="L8" s="4">
        <v>0.163905497584615</v>
      </c>
      <c r="M8" s="4">
        <v>0.2354</v>
      </c>
      <c r="N8" s="4">
        <v>0.1486</v>
      </c>
      <c r="O8" s="3" t="s">
        <v>175</v>
      </c>
      <c r="P8" s="5">
        <v>400</v>
      </c>
      <c r="Q8" s="5">
        <v>561.5561</v>
      </c>
      <c r="R8" s="5">
        <v>562.5</v>
      </c>
      <c r="S8" s="5">
        <v>870</v>
      </c>
      <c r="T8" s="7">
        <v>13.64</v>
      </c>
      <c r="U8" s="7">
        <v>16.85079</v>
      </c>
      <c r="V8" s="7">
        <v>19.35454</v>
      </c>
    </row>
    <row r="9" spans="1:22" ht="18" customHeight="1">
      <c r="A9" s="3" t="s">
        <v>176</v>
      </c>
      <c r="B9" s="4">
        <v>0.1267</v>
      </c>
      <c r="C9" s="4">
        <v>-0.07806154875821358</v>
      </c>
      <c r="D9" s="4">
        <v>0.02489626260097766</v>
      </c>
      <c r="E9" s="4">
        <v>0.3799227316314584</v>
      </c>
      <c r="F9" s="4">
        <v>0.3771000271104341</v>
      </c>
      <c r="G9" s="4">
        <v>0.6942503363843524</v>
      </c>
      <c r="H9" s="15"/>
      <c r="I9" s="6">
        <v>599.0850219726562</v>
      </c>
      <c r="J9" s="7">
        <v>21.794289</v>
      </c>
      <c r="K9" s="7">
        <v>16.556837</v>
      </c>
      <c r="L9" s="4">
        <v>0.105018706445581</v>
      </c>
      <c r="M9" s="4">
        <v>0.0789</v>
      </c>
      <c r="N9" s="4">
        <v>0.1302</v>
      </c>
      <c r="O9" s="3" t="s">
        <v>176</v>
      </c>
      <c r="P9" s="5">
        <v>614</v>
      </c>
      <c r="Q9" s="5">
        <v>826.69104</v>
      </c>
      <c r="R9" s="5">
        <v>825</v>
      </c>
      <c r="S9" s="5">
        <v>1015</v>
      </c>
      <c r="T9" s="7">
        <v>23.49</v>
      </c>
      <c r="U9" s="7">
        <v>32.81202</v>
      </c>
      <c r="V9" s="7">
        <v>34.73745</v>
      </c>
    </row>
    <row r="12" spans="1:22" ht="18" customHeight="1">
      <c r="A12" s="16" t="s">
        <v>171</v>
      </c>
      <c r="B12" s="17">
        <f>SUM(B3:B9)</f>
        <v>0</v>
      </c>
      <c r="C12" s="17">
        <f>SUMPRODUCT(B3:B9,C3:C9)</f>
        <v>0</v>
      </c>
      <c r="D12" s="17">
        <f>SUMPRODUCT(B3:B9,D3:D9)</f>
        <v>0</v>
      </c>
      <c r="E12" s="17">
        <f>SUMPRODUCT(B3:B9,E3:E9)</f>
        <v>0</v>
      </c>
      <c r="F12" s="17">
        <f>SUMPRODUCT(B3:B9,F3:F9)</f>
        <v>0</v>
      </c>
      <c r="G12" s="17">
        <f>SUMPRODUCT(B3:B9,G3:G9)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9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9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15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71</v>
      </c>
      <c r="B3" s="4">
        <v>0.192088775</v>
      </c>
      <c r="C3" s="4">
        <v>0.2440609207495157</v>
      </c>
      <c r="D3" s="4">
        <v>-0.146940981876318</v>
      </c>
      <c r="E3" s="4">
        <v>0.09213382339468024</v>
      </c>
      <c r="F3" s="4">
        <v>0.09752671232476584</v>
      </c>
      <c r="G3" s="4">
        <v>0.3144796670866381</v>
      </c>
      <c r="H3" s="15"/>
      <c r="I3" s="6">
        <v>391.7900085449219</v>
      </c>
      <c r="J3" s="7">
        <v>29.882542</v>
      </c>
      <c r="K3" s="7">
        <v>27.08408</v>
      </c>
      <c r="L3" s="4">
        <v>0.6587966970922741</v>
      </c>
      <c r="M3" s="4">
        <v>0.3164</v>
      </c>
      <c r="N3" s="4">
        <v>0.0165</v>
      </c>
      <c r="O3" s="3" t="s">
        <v>71</v>
      </c>
      <c r="P3" s="5">
        <v>334.22</v>
      </c>
      <c r="Q3" s="5">
        <v>427.88712</v>
      </c>
      <c r="R3" s="5">
        <v>430</v>
      </c>
      <c r="S3" s="5">
        <v>515</v>
      </c>
      <c r="T3" s="7">
        <v>10.81</v>
      </c>
      <c r="U3" s="7">
        <v>14.22259</v>
      </c>
      <c r="V3" s="7">
        <v>14.42841</v>
      </c>
    </row>
    <row r="4" spans="1:22" ht="18" customHeight="1">
      <c r="A4" s="3" t="s">
        <v>172</v>
      </c>
      <c r="B4" s="4">
        <v>0.177140119</v>
      </c>
      <c r="C4" s="4">
        <v>0.1917880902490343</v>
      </c>
      <c r="D4" s="4">
        <v>-0.2331629320299355</v>
      </c>
      <c r="E4" s="4">
        <v>0.1541507267624256</v>
      </c>
      <c r="F4" s="4">
        <v>0.1743350267947363</v>
      </c>
      <c r="G4" s="4">
        <v>0.3706749524102602</v>
      </c>
      <c r="H4" s="15"/>
      <c r="I4" s="6">
        <v>269.9400024414062</v>
      </c>
      <c r="J4" s="7">
        <v>32.250896</v>
      </c>
      <c r="K4" s="7">
        <v>27.34752</v>
      </c>
      <c r="L4" s="4">
        <v>0.04813371194604787</v>
      </c>
      <c r="M4" s="4">
        <v>0.2032</v>
      </c>
      <c r="N4" s="4">
        <v>0.1442</v>
      </c>
      <c r="O4" s="3" t="s">
        <v>172</v>
      </c>
      <c r="P4" s="5">
        <v>207</v>
      </c>
      <c r="Q4" s="5">
        <v>311.55145</v>
      </c>
      <c r="R4" s="5">
        <v>317</v>
      </c>
      <c r="S4" s="5">
        <v>370</v>
      </c>
      <c r="T4" s="7">
        <v>7.17</v>
      </c>
      <c r="U4" s="7">
        <v>8.60388</v>
      </c>
      <c r="V4" s="7">
        <v>9.86961</v>
      </c>
    </row>
    <row r="5" spans="1:22" ht="18" customHeight="1">
      <c r="A5" s="3" t="s">
        <v>173</v>
      </c>
      <c r="B5" s="4">
        <v>0.177</v>
      </c>
      <c r="C5" s="4">
        <v>0.07663099626088554</v>
      </c>
      <c r="D5" s="4">
        <v>-0.2626633193860984</v>
      </c>
      <c r="E5" s="4">
        <v>0.04695272071763568</v>
      </c>
      <c r="F5" s="4">
        <v>0.0631366092572534</v>
      </c>
      <c r="G5" s="4">
        <v>0.3717891732351657</v>
      </c>
      <c r="H5" s="15"/>
      <c r="I5" s="6">
        <v>291.5899963378906</v>
      </c>
      <c r="J5" s="7">
        <v>35.258762</v>
      </c>
      <c r="K5" s="7">
        <v>30.50191</v>
      </c>
      <c r="L5" s="4">
        <v>0.1199078603174795</v>
      </c>
      <c r="M5" s="4">
        <v>0.1693</v>
      </c>
      <c r="N5" s="4">
        <v>0.0959</v>
      </c>
      <c r="O5" s="3" t="s">
        <v>173</v>
      </c>
      <c r="P5" s="5">
        <v>215</v>
      </c>
      <c r="Q5" s="5">
        <v>305.28094</v>
      </c>
      <c r="R5" s="5">
        <v>310</v>
      </c>
      <c r="S5" s="5">
        <v>400</v>
      </c>
      <c r="T5" s="7">
        <v>7.46</v>
      </c>
      <c r="U5" s="7">
        <v>8.72795</v>
      </c>
      <c r="V5" s="7">
        <v>9.606960000000001</v>
      </c>
    </row>
    <row r="6" spans="1:22" ht="18" customHeight="1">
      <c r="A6" s="3" t="s">
        <v>175</v>
      </c>
      <c r="B6" s="4">
        <v>0.160832228</v>
      </c>
      <c r="C6" s="4">
        <v>-0.1299169635610694</v>
      </c>
      <c r="D6" s="4">
        <v>-0.02572096069122431</v>
      </c>
      <c r="E6" s="4">
        <v>0.367780844064957</v>
      </c>
      <c r="F6" s="4">
        <v>0.3700798990279657</v>
      </c>
      <c r="G6" s="4">
        <v>1.119056910496587</v>
      </c>
      <c r="H6" s="15"/>
      <c r="I6" s="6">
        <v>410.5599975585938</v>
      </c>
      <c r="J6" s="7">
        <v>24.481812</v>
      </c>
      <c r="K6" s="7">
        <v>21.212595</v>
      </c>
      <c r="L6" s="4">
        <v>0.163905497584615</v>
      </c>
      <c r="M6" s="4">
        <v>0.2354</v>
      </c>
      <c r="N6" s="4">
        <v>0.1486</v>
      </c>
      <c r="O6" s="3" t="s">
        <v>175</v>
      </c>
      <c r="P6" s="5">
        <v>400</v>
      </c>
      <c r="Q6" s="5">
        <v>561.5561</v>
      </c>
      <c r="R6" s="5">
        <v>562.5</v>
      </c>
      <c r="S6" s="5">
        <v>870</v>
      </c>
      <c r="T6" s="7">
        <v>13.64</v>
      </c>
      <c r="U6" s="7">
        <v>16.85079</v>
      </c>
      <c r="V6" s="7">
        <v>19.35454</v>
      </c>
    </row>
    <row r="7" spans="1:22" ht="18" customHeight="1">
      <c r="A7" s="3" t="s">
        <v>177</v>
      </c>
      <c r="B7" s="4">
        <v>0.14696763</v>
      </c>
      <c r="C7" s="4">
        <v>-0.06138036284861259</v>
      </c>
      <c r="D7" s="4">
        <v>-0.06328667942803257</v>
      </c>
      <c r="E7" s="4">
        <v>0.3413149304765217</v>
      </c>
      <c r="F7" s="4">
        <v>0.3465253983222032</v>
      </c>
      <c r="G7" s="4">
        <v>0.7727299591824484</v>
      </c>
      <c r="H7" s="15"/>
      <c r="I7" s="6">
        <v>85.40499877929688</v>
      </c>
      <c r="J7" s="7">
        <v>27.550001</v>
      </c>
      <c r="K7" s="7">
        <v>22.233532</v>
      </c>
      <c r="L7" s="4">
        <v>0.05736814830690729</v>
      </c>
      <c r="M7" s="4">
        <v>0.42209998</v>
      </c>
      <c r="N7" s="4">
        <v>0.06760000400000001</v>
      </c>
      <c r="O7" s="3" t="s">
        <v>177</v>
      </c>
      <c r="P7" s="5">
        <v>80</v>
      </c>
      <c r="Q7" s="5">
        <v>114.555</v>
      </c>
      <c r="R7" s="5">
        <v>115</v>
      </c>
      <c r="S7" s="5">
        <v>151.4</v>
      </c>
      <c r="T7" s="7">
        <v>2.53</v>
      </c>
      <c r="U7" s="7">
        <v>3.59407</v>
      </c>
      <c r="V7" s="7">
        <v>3.82945</v>
      </c>
    </row>
    <row r="8" spans="1:22" ht="18" customHeight="1">
      <c r="A8" s="3" t="s">
        <v>176</v>
      </c>
      <c r="B8" s="4">
        <v>0.145700785</v>
      </c>
      <c r="C8" s="4">
        <v>-0.07806154875821358</v>
      </c>
      <c r="D8" s="4">
        <v>0.02489626260097766</v>
      </c>
      <c r="E8" s="4">
        <v>0.3799227316314584</v>
      </c>
      <c r="F8" s="4">
        <v>0.3771000271104341</v>
      </c>
      <c r="G8" s="4">
        <v>0.6942503363843524</v>
      </c>
      <c r="H8" s="15"/>
      <c r="I8" s="6">
        <v>599.0850219726562</v>
      </c>
      <c r="J8" s="7">
        <v>21.795744</v>
      </c>
      <c r="K8" s="7">
        <v>16.557941</v>
      </c>
      <c r="L8" s="4">
        <v>0.105018706445581</v>
      </c>
      <c r="M8" s="4">
        <v>0.0789</v>
      </c>
      <c r="N8" s="4">
        <v>0.1302</v>
      </c>
      <c r="O8" s="3" t="s">
        <v>176</v>
      </c>
      <c r="P8" s="5">
        <v>614</v>
      </c>
      <c r="Q8" s="5">
        <v>826.69104</v>
      </c>
      <c r="R8" s="5">
        <v>825</v>
      </c>
      <c r="S8" s="5">
        <v>1015</v>
      </c>
      <c r="T8" s="7">
        <v>23.49</v>
      </c>
      <c r="U8" s="7">
        <v>32.81202</v>
      </c>
      <c r="V8" s="7">
        <v>34.73745</v>
      </c>
    </row>
    <row r="11" spans="1:22" ht="18" customHeight="1">
      <c r="A11" s="16" t="s">
        <v>171</v>
      </c>
      <c r="B11" s="17">
        <f>SUM(B3:B8)</f>
        <v>0</v>
      </c>
      <c r="C11" s="17">
        <f>SUMPRODUCT(B3:B8,C3:C8)</f>
        <v>0</v>
      </c>
      <c r="D11" s="17">
        <f>SUMPRODUCT(B3:B8,D3:D8)</f>
        <v>0</v>
      </c>
      <c r="E11" s="17">
        <f>SUMPRODUCT(B3:B8,E3:E8)</f>
        <v>0</v>
      </c>
      <c r="F11" s="17">
        <f>SUMPRODUCT(B3:B8,F3:F8)</f>
        <v>0</v>
      </c>
      <c r="G11" s="17">
        <f>SUMPRODUCT(B3:B8,G3:G8)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8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8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16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72</v>
      </c>
      <c r="B3" s="4">
        <v>0.1853</v>
      </c>
      <c r="C3" s="4">
        <v>0.1708338302707444</v>
      </c>
      <c r="D3" s="4">
        <v>-0.3667450749028605</v>
      </c>
      <c r="E3" s="4">
        <v>0.21750243247099</v>
      </c>
      <c r="F3" s="4">
        <v>0.1986611082195855</v>
      </c>
      <c r="G3" s="4">
        <v>0.7188347966922357</v>
      </c>
      <c r="H3" s="15"/>
      <c r="I3" s="6">
        <v>221.0800018310547</v>
      </c>
      <c r="J3" s="7">
        <v>45.030552</v>
      </c>
      <c r="K3" s="7">
        <v>19.590782</v>
      </c>
      <c r="L3" s="4">
        <v>0.3487891106312935</v>
      </c>
      <c r="M3" s="4">
        <v>0.7486</v>
      </c>
      <c r="N3" s="4">
        <v>0.3531</v>
      </c>
      <c r="O3" s="3" t="s">
        <v>72</v>
      </c>
      <c r="P3" s="5">
        <v>140</v>
      </c>
      <c r="Q3" s="5">
        <v>269.16544</v>
      </c>
      <c r="R3" s="5">
        <v>265</v>
      </c>
      <c r="S3" s="5">
        <v>380</v>
      </c>
      <c r="T3" s="7">
        <v>4.9</v>
      </c>
      <c r="U3" s="7">
        <v>8.34076</v>
      </c>
      <c r="V3" s="7">
        <v>11.28592</v>
      </c>
    </row>
    <row r="4" spans="1:22" ht="18" customHeight="1">
      <c r="A4" s="3" t="s">
        <v>74</v>
      </c>
      <c r="B4" s="4">
        <v>0.154</v>
      </c>
      <c r="C4" s="4">
        <v>0.236536536087419</v>
      </c>
      <c r="D4" s="4">
        <v>-0.1607315766519846</v>
      </c>
      <c r="E4" s="4">
        <v>0.1085172734988797</v>
      </c>
      <c r="F4" s="4">
        <v>0.1131963115241037</v>
      </c>
      <c r="G4" s="4">
        <v>0.4687197408590269</v>
      </c>
      <c r="H4" s="15"/>
      <c r="I4" s="6">
        <v>428.9450073242188</v>
      </c>
      <c r="J4" s="7">
        <v>83.77831999999999</v>
      </c>
      <c r="K4" s="7">
        <v>23.67514</v>
      </c>
      <c r="L4" s="4">
        <v>0.5054207913071003</v>
      </c>
      <c r="M4" s="4">
        <v>0.6753</v>
      </c>
      <c r="N4" s="4">
        <v>0.5857</v>
      </c>
      <c r="O4" s="3" t="s">
        <v>74</v>
      </c>
      <c r="P4" s="5">
        <v>360</v>
      </c>
      <c r="Q4" s="5">
        <v>475.49295</v>
      </c>
      <c r="R4" s="5">
        <v>477.5</v>
      </c>
      <c r="S4" s="5">
        <v>630</v>
      </c>
      <c r="T4" s="7">
        <v>4.77</v>
      </c>
      <c r="U4" s="7">
        <v>11.42564</v>
      </c>
      <c r="V4" s="7">
        <v>18.11795</v>
      </c>
    </row>
    <row r="5" spans="1:22" ht="18" customHeight="1">
      <c r="A5" s="3" t="s">
        <v>178</v>
      </c>
      <c r="B5" s="4">
        <v>0.1425</v>
      </c>
      <c r="C5" s="4">
        <v>0.2685436908821826</v>
      </c>
      <c r="D5" s="4">
        <v>-0.1318327712150767</v>
      </c>
      <c r="E5" s="4">
        <v>0.1463057481894388</v>
      </c>
      <c r="F5" s="4">
        <v>0.1686866541335506</v>
      </c>
      <c r="G5" s="4">
        <v>0.4840465449314928</v>
      </c>
      <c r="H5" s="15"/>
      <c r="I5" s="6">
        <v>404.2999877929688</v>
      </c>
      <c r="J5" s="7">
        <v>34.585117</v>
      </c>
      <c r="K5" s="7">
        <v>20.956678</v>
      </c>
      <c r="L5" s="4">
        <v>0.5278536007399635</v>
      </c>
      <c r="M5" s="4">
        <v>0.45069999</v>
      </c>
      <c r="N5" s="4">
        <v>0.24870001</v>
      </c>
      <c r="O5" s="3" t="s">
        <v>178</v>
      </c>
      <c r="P5" s="5">
        <v>351</v>
      </c>
      <c r="Q5" s="5">
        <v>463.4514</v>
      </c>
      <c r="R5" s="5">
        <v>472.5</v>
      </c>
      <c r="S5" s="5">
        <v>600</v>
      </c>
      <c r="T5" s="7">
        <v>331.25</v>
      </c>
      <c r="U5" s="7">
        <v>15.4503</v>
      </c>
      <c r="V5" s="7">
        <v>19.29218</v>
      </c>
    </row>
    <row r="6" spans="1:22" ht="18" customHeight="1">
      <c r="A6" s="3" t="s">
        <v>76</v>
      </c>
      <c r="B6" s="4">
        <v>0.1184</v>
      </c>
      <c r="C6" s="4">
        <v>1.079294764952377</v>
      </c>
      <c r="D6" s="4">
        <v>-0.5157749790670274</v>
      </c>
      <c r="E6" s="4">
        <v>-0.04226566415729327</v>
      </c>
      <c r="F6" s="4">
        <v>-0.02078940211332225</v>
      </c>
      <c r="G6" s="4">
        <v>0.3450695025915904</v>
      </c>
      <c r="H6" s="15"/>
      <c r="I6" s="6">
        <v>464.6600036621094</v>
      </c>
      <c r="J6" s="7">
        <v>154.88667</v>
      </c>
      <c r="K6" s="7">
        <v>36.013374</v>
      </c>
      <c r="L6" s="4">
        <v>0.7753461704239681</v>
      </c>
      <c r="M6" s="4">
        <v>0.7586000000000001</v>
      </c>
      <c r="N6" s="4">
        <v>0.7594</v>
      </c>
      <c r="O6" s="3" t="s">
        <v>76</v>
      </c>
      <c r="P6" s="5">
        <v>225</v>
      </c>
      <c r="Q6" s="5">
        <v>445.02084</v>
      </c>
      <c r="R6" s="5">
        <v>455</v>
      </c>
      <c r="S6" s="5">
        <v>625</v>
      </c>
      <c r="T6" s="7">
        <v>2.65</v>
      </c>
      <c r="U6" s="7">
        <v>7.3335</v>
      </c>
      <c r="V6" s="7">
        <v>12.90243</v>
      </c>
    </row>
    <row r="7" spans="1:22" ht="18" customHeight="1">
      <c r="A7" s="3" t="s">
        <v>179</v>
      </c>
      <c r="B7" s="4">
        <v>0.0999</v>
      </c>
      <c r="C7" s="4">
        <v>0.3443229673938202</v>
      </c>
      <c r="D7" s="4">
        <v>-0.4154416710922497</v>
      </c>
      <c r="E7" s="4">
        <v>0.07670316608562366</v>
      </c>
      <c r="F7" s="4">
        <v>0.1251371876687097</v>
      </c>
      <c r="G7" s="4">
        <v>0.2980868254698421</v>
      </c>
      <c r="H7" s="15"/>
      <c r="I7" s="6">
        <v>1559.030151367188</v>
      </c>
      <c r="J7" s="7">
        <v>51.26702</v>
      </c>
      <c r="K7" s="7">
        <v>32.339077</v>
      </c>
      <c r="L7" s="4">
        <v>0.5420508917093201</v>
      </c>
      <c r="M7" s="4">
        <v>0.2711</v>
      </c>
      <c r="N7" s="4">
        <v>0.3022</v>
      </c>
      <c r="O7" s="3" t="s">
        <v>179</v>
      </c>
      <c r="P7" s="5">
        <v>911.34406</v>
      </c>
      <c r="Q7" s="5">
        <v>1678.6127</v>
      </c>
      <c r="R7" s="5">
        <v>1754.1228</v>
      </c>
      <c r="S7" s="5">
        <v>2023.7565</v>
      </c>
      <c r="T7" s="7">
        <v>26.26</v>
      </c>
      <c r="U7" s="7">
        <v>31.40828</v>
      </c>
      <c r="V7" s="7">
        <v>40.90003</v>
      </c>
    </row>
    <row r="8" spans="1:22" ht="18" customHeight="1">
      <c r="A8" s="3" t="s">
        <v>77</v>
      </c>
      <c r="B8" s="4">
        <v>0.05860000000000001</v>
      </c>
      <c r="C8" s="4">
        <v>0.6074568878446247</v>
      </c>
      <c r="D8" s="4">
        <v>-0.2593340709553472</v>
      </c>
      <c r="E8" s="4">
        <v>0.0452437507185548</v>
      </c>
      <c r="F8" s="4">
        <v>0.06049894385938925</v>
      </c>
      <c r="G8" s="4">
        <v>0.2961653758281424</v>
      </c>
      <c r="H8" s="15"/>
      <c r="I8" s="6">
        <v>297.0299987792969</v>
      </c>
      <c r="J8" s="7">
        <v>56.149338</v>
      </c>
      <c r="K8" s="7">
        <v>37.53725</v>
      </c>
      <c r="L8" s="4">
        <v>1.384699777556252</v>
      </c>
      <c r="M8" s="4">
        <v>0.37080002</v>
      </c>
      <c r="N8" s="4">
        <v>0.3944</v>
      </c>
      <c r="O8" s="3" t="s">
        <v>77</v>
      </c>
      <c r="P8" s="5">
        <v>220</v>
      </c>
      <c r="Q8" s="5">
        <v>310.46875</v>
      </c>
      <c r="R8" s="5">
        <v>315</v>
      </c>
      <c r="S8" s="5">
        <v>385</v>
      </c>
      <c r="T8" s="7">
        <v>4.15</v>
      </c>
      <c r="U8" s="7">
        <v>5.675</v>
      </c>
      <c r="V8" s="7">
        <v>7.91294</v>
      </c>
    </row>
    <row r="9" spans="1:22" ht="18" customHeight="1">
      <c r="A9" s="3" t="s">
        <v>83</v>
      </c>
      <c r="B9" s="4">
        <v>0.0551</v>
      </c>
      <c r="C9" s="4">
        <v>0.6592605960571214</v>
      </c>
      <c r="D9" s="4">
        <v>-0.3715910245918819</v>
      </c>
      <c r="E9" s="4">
        <v>-0.01388638437174583</v>
      </c>
      <c r="F9" s="4">
        <v>-0.001278592654955002</v>
      </c>
      <c r="G9" s="4">
        <v>0.2343747731230892</v>
      </c>
      <c r="H9" s="15"/>
      <c r="I9" s="6">
        <v>445.5697021484375</v>
      </c>
      <c r="J9" s="7">
        <v>45.699455</v>
      </c>
      <c r="K9" s="7">
        <v>30.954744</v>
      </c>
      <c r="L9" s="4">
        <v>0.5839540115112469</v>
      </c>
      <c r="M9" s="4">
        <v>0.17959999</v>
      </c>
      <c r="N9" s="4">
        <v>0.2953</v>
      </c>
      <c r="O9" s="3" t="s">
        <v>83</v>
      </c>
      <c r="P9" s="5">
        <v>280</v>
      </c>
      <c r="Q9" s="5">
        <v>439.38235</v>
      </c>
      <c r="R9" s="5">
        <v>445</v>
      </c>
      <c r="S9" s="5">
        <v>550</v>
      </c>
      <c r="T9" s="7">
        <v>8.66</v>
      </c>
      <c r="U9" s="7">
        <v>11.11229</v>
      </c>
      <c r="V9" s="7">
        <v>14.39423</v>
      </c>
    </row>
    <row r="10" spans="1:22" ht="18" customHeight="1">
      <c r="A10" s="3" t="s">
        <v>90</v>
      </c>
      <c r="B10" s="4">
        <v>0.039</v>
      </c>
      <c r="C10" s="4">
        <v>0.4552613818726143</v>
      </c>
      <c r="D10" s="4">
        <v>-0.2441747587531677</v>
      </c>
      <c r="E10" s="4">
        <v>-0.008975332581427131</v>
      </c>
      <c r="F10" s="4">
        <v>0.01226594809843595</v>
      </c>
      <c r="G10" s="4">
        <v>0.1337378618702483</v>
      </c>
      <c r="H10" s="15"/>
      <c r="I10" s="6">
        <v>1852.280029296875</v>
      </c>
      <c r="J10" s="7">
        <v>52.427963</v>
      </c>
      <c r="K10" s="7">
        <v>37.26429</v>
      </c>
      <c r="L10" s="4">
        <v>0.9249564605495981</v>
      </c>
      <c r="M10" s="4">
        <v>0.11399999</v>
      </c>
      <c r="N10" s="4">
        <v>0.34080002</v>
      </c>
      <c r="O10" s="3" t="s">
        <v>90</v>
      </c>
      <c r="P10" s="5">
        <v>1400</v>
      </c>
      <c r="Q10" s="5">
        <v>1835.6552</v>
      </c>
      <c r="R10" s="5">
        <v>1875</v>
      </c>
      <c r="S10" s="5">
        <v>2100</v>
      </c>
      <c r="T10" s="7">
        <v>20.28</v>
      </c>
      <c r="U10" s="7">
        <v>37.0733</v>
      </c>
      <c r="V10" s="7">
        <v>49.70657</v>
      </c>
    </row>
    <row r="11" spans="1:22" ht="18" customHeight="1">
      <c r="A11" s="3" t="s">
        <v>180</v>
      </c>
      <c r="B11" s="4">
        <v>0.0373</v>
      </c>
      <c r="C11" s="4">
        <v>0.3759882728272201</v>
      </c>
      <c r="D11" s="4">
        <v>-0.5771670190274841</v>
      </c>
      <c r="E11" s="4">
        <v>-0.2607242706131079</v>
      </c>
      <c r="F11" s="4">
        <v>-0.3234672304439746</v>
      </c>
      <c r="G11" s="4">
        <v>0.2684989429175475</v>
      </c>
      <c r="H11" s="15"/>
      <c r="I11" s="6">
        <v>236.5</v>
      </c>
      <c r="J11" s="7">
        <v>25.457481</v>
      </c>
      <c r="K11" s="7">
        <v>22.236952</v>
      </c>
      <c r="L11" s="4">
        <v>0.1382382149564476</v>
      </c>
      <c r="M11" s="4">
        <v>-0.1062</v>
      </c>
      <c r="N11" s="4">
        <v>-0.0109</v>
      </c>
      <c r="O11" s="3" t="s">
        <v>180</v>
      </c>
      <c r="P11" s="5">
        <v>100</v>
      </c>
      <c r="Q11" s="5">
        <v>174.83871</v>
      </c>
      <c r="R11" s="5">
        <v>160</v>
      </c>
      <c r="S11" s="5">
        <v>300</v>
      </c>
      <c r="T11" s="7">
        <v>5.01</v>
      </c>
      <c r="U11" s="7">
        <v>10.75261</v>
      </c>
      <c r="V11" s="7">
        <v>10.63545</v>
      </c>
    </row>
    <row r="12" spans="1:22" ht="18" customHeight="1">
      <c r="A12" s="3" t="s">
        <v>181</v>
      </c>
      <c r="B12" s="4">
        <v>0.0361</v>
      </c>
      <c r="C12" s="4">
        <v>0.8600190678333817</v>
      </c>
      <c r="D12" s="4">
        <v>-0.5548266039497527</v>
      </c>
      <c r="E12" s="4">
        <v>0.04110565301970293</v>
      </c>
      <c r="F12" s="4">
        <v>0.1597938476045917</v>
      </c>
      <c r="G12" s="4">
        <v>0.5276476538145329</v>
      </c>
      <c r="H12" s="15"/>
      <c r="I12" s="6">
        <v>213.3999938964844</v>
      </c>
      <c r="J12" s="7">
        <v>251.0588</v>
      </c>
      <c r="K12" s="7">
        <v>70.65757000000001</v>
      </c>
      <c r="L12" s="4">
        <v>-0.1473478926623909</v>
      </c>
      <c r="M12" s="4">
        <v>0.2207</v>
      </c>
      <c r="N12" s="4">
        <v>0.3978</v>
      </c>
      <c r="O12" s="3" t="s">
        <v>181</v>
      </c>
      <c r="P12" s="5">
        <v>95</v>
      </c>
      <c r="Q12" s="5">
        <v>222.17194</v>
      </c>
      <c r="R12" s="5">
        <v>247.5</v>
      </c>
      <c r="S12" s="5">
        <v>326</v>
      </c>
      <c r="T12" s="7">
        <v>0.85</v>
      </c>
      <c r="U12" s="7">
        <v>2.16063</v>
      </c>
      <c r="V12" s="7">
        <v>3.0202</v>
      </c>
    </row>
    <row r="15" spans="1:22" ht="18" customHeight="1">
      <c r="A15" s="16" t="s">
        <v>171</v>
      </c>
      <c r="B15" s="17">
        <f>SUM(B3:B12)</f>
        <v>0</v>
      </c>
      <c r="C15" s="17">
        <f>SUMPRODUCT(B3:B12,C3:C12)</f>
        <v>0</v>
      </c>
      <c r="D15" s="17">
        <f>SUMPRODUCT(B3:B12,D3:D12)</f>
        <v>0</v>
      </c>
      <c r="E15" s="17">
        <f>SUMPRODUCT(B3:B12,E3:E12)</f>
        <v>0</v>
      </c>
      <c r="F15" s="17">
        <f>SUMPRODUCT(B3:B12,F3:F12)</f>
        <v>0</v>
      </c>
      <c r="G15" s="17">
        <f>SUMPRODUCT(B3:B12,G3:G12)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12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12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3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17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73</v>
      </c>
      <c r="B3" s="4">
        <v>0.0977</v>
      </c>
      <c r="C3" s="4">
        <v>1.574633714126034</v>
      </c>
      <c r="D3" s="4">
        <v>-0.6931211136298945</v>
      </c>
      <c r="E3" s="4">
        <v>-0.2926937112190436</v>
      </c>
      <c r="F3" s="4">
        <v>-0.3221550702668352</v>
      </c>
      <c r="G3" s="4">
        <v>0.2324453267875723</v>
      </c>
      <c r="H3" s="15"/>
      <c r="I3" s="6">
        <v>811.39501953125</v>
      </c>
      <c r="J3" s="7">
        <v>38.24965</v>
      </c>
      <c r="K3" s="7">
        <v>7.9707046</v>
      </c>
      <c r="L3" s="4">
        <v>2.27888901203893</v>
      </c>
      <c r="M3" s="4">
        <v>0.060095</v>
      </c>
      <c r="N3" s="4">
        <v>0.7516</v>
      </c>
      <c r="O3" s="3" t="s">
        <v>73</v>
      </c>
      <c r="P3" s="5">
        <v>249</v>
      </c>
      <c r="Q3" s="5">
        <v>573.9048</v>
      </c>
      <c r="R3" s="5">
        <v>550</v>
      </c>
      <c r="S3" s="5">
        <v>1000</v>
      </c>
      <c r="T3" s="7">
        <v>7.59</v>
      </c>
      <c r="U3" s="7">
        <v>58.10855</v>
      </c>
      <c r="V3" s="7">
        <v>101.7821</v>
      </c>
    </row>
    <row r="4" spans="1:22" ht="18" customHeight="1">
      <c r="A4" s="3" t="s">
        <v>76</v>
      </c>
      <c r="B4" s="4">
        <v>0.0915</v>
      </c>
      <c r="C4" s="4">
        <v>1.079563246441016</v>
      </c>
      <c r="D4" s="4">
        <v>-0.5158374948162736</v>
      </c>
      <c r="E4" s="4">
        <v>-0.04238931220726105</v>
      </c>
      <c r="F4" s="4">
        <v>-0.02091582285068672</v>
      </c>
      <c r="G4" s="4">
        <v>0.3448958477325732</v>
      </c>
      <c r="H4" s="15"/>
      <c r="I4" s="6">
        <v>464.7200012207031</v>
      </c>
      <c r="J4" s="7">
        <v>154.90666</v>
      </c>
      <c r="K4" s="7">
        <v>36.018024</v>
      </c>
      <c r="L4" s="4">
        <v>0.7753461704239681</v>
      </c>
      <c r="M4" s="4">
        <v>0.7586000000000001</v>
      </c>
      <c r="N4" s="4">
        <v>0.7594</v>
      </c>
      <c r="O4" s="3" t="s">
        <v>76</v>
      </c>
      <c r="P4" s="5">
        <v>225</v>
      </c>
      <c r="Q4" s="5">
        <v>445.02084</v>
      </c>
      <c r="R4" s="5">
        <v>455</v>
      </c>
      <c r="S4" s="5">
        <v>625</v>
      </c>
      <c r="T4" s="7">
        <v>2.65</v>
      </c>
      <c r="U4" s="7">
        <v>7.3335</v>
      </c>
      <c r="V4" s="7">
        <v>12.90243</v>
      </c>
    </row>
    <row r="5" spans="1:22" ht="18" customHeight="1">
      <c r="A5" s="3" t="s">
        <v>78</v>
      </c>
      <c r="B5" s="4">
        <v>0.07389999999999999</v>
      </c>
      <c r="C5" s="4">
        <v>2.257744789397815</v>
      </c>
      <c r="D5" s="4">
        <v>-0.8409852594309467</v>
      </c>
      <c r="E5" s="4">
        <v>-0.3561461974998136</v>
      </c>
      <c r="F5" s="4">
        <v>-0.3647205217461841</v>
      </c>
      <c r="G5" s="4">
        <v>-0.08020885357116225</v>
      </c>
      <c r="H5" s="15"/>
      <c r="I5" s="6">
        <v>128.2899932861328</v>
      </c>
      <c r="J5" s="9" t="s">
        <v>79</v>
      </c>
      <c r="K5" s="7">
        <v>83.80804000000001</v>
      </c>
      <c r="L5" s="4">
        <v>0.8249259534597484</v>
      </c>
      <c r="M5" s="4">
        <v>0.015855</v>
      </c>
      <c r="N5" s="4">
        <v>0.4129</v>
      </c>
      <c r="O5" s="3" t="s">
        <v>78</v>
      </c>
      <c r="P5" s="5">
        <v>20.4</v>
      </c>
      <c r="Q5" s="5">
        <v>82.59999999999999</v>
      </c>
      <c r="R5" s="5">
        <v>81.5</v>
      </c>
      <c r="S5" s="5">
        <v>118</v>
      </c>
      <c r="T5" s="7">
        <v>-0.06</v>
      </c>
      <c r="U5" s="7">
        <v>1.08591</v>
      </c>
      <c r="V5" s="7">
        <v>1.53433</v>
      </c>
    </row>
    <row r="6" spans="1:22" ht="18" customHeight="1">
      <c r="A6" s="3" t="s">
        <v>74</v>
      </c>
      <c r="B6" s="4">
        <v>0.0726</v>
      </c>
      <c r="C6" s="4">
        <v>0.2365221083161411</v>
      </c>
      <c r="D6" s="4">
        <v>-0.1607217840467643</v>
      </c>
      <c r="E6" s="4">
        <v>0.1085302077065031</v>
      </c>
      <c r="F6" s="4">
        <v>0.1132093003268613</v>
      </c>
      <c r="G6" s="4">
        <v>0.4687368779181624</v>
      </c>
      <c r="H6" s="15"/>
      <c r="I6" s="6">
        <v>428.9400024414062</v>
      </c>
      <c r="J6" s="7">
        <v>83.77734</v>
      </c>
      <c r="K6" s="7">
        <v>23.674864</v>
      </c>
      <c r="L6" s="4">
        <v>0.5054207913071003</v>
      </c>
      <c r="M6" s="4">
        <v>0.6753</v>
      </c>
      <c r="N6" s="4">
        <v>0.5857</v>
      </c>
      <c r="O6" s="3" t="s">
        <v>74</v>
      </c>
      <c r="P6" s="5">
        <v>360</v>
      </c>
      <c r="Q6" s="5">
        <v>475.49295</v>
      </c>
      <c r="R6" s="5">
        <v>477.5</v>
      </c>
      <c r="S6" s="5">
        <v>630</v>
      </c>
      <c r="T6" s="7">
        <v>4.77</v>
      </c>
      <c r="U6" s="7">
        <v>11.42564</v>
      </c>
      <c r="V6" s="7">
        <v>18.11795</v>
      </c>
    </row>
    <row r="7" spans="1:22" ht="18" customHeight="1">
      <c r="A7" s="3" t="s">
        <v>72</v>
      </c>
      <c r="B7" s="4">
        <v>0.0655</v>
      </c>
      <c r="C7" s="4">
        <v>0.1707808236135608</v>
      </c>
      <c r="D7" s="4">
        <v>-0.3667453371436578</v>
      </c>
      <c r="E7" s="4">
        <v>0.2175019282841357</v>
      </c>
      <c r="F7" s="4">
        <v>0.1986606118352192</v>
      </c>
      <c r="G7" s="4">
        <v>0.7188340848957862</v>
      </c>
      <c r="H7" s="15"/>
      <c r="I7" s="6">
        <v>221.0800933837891</v>
      </c>
      <c r="J7" s="7">
        <v>45.026497</v>
      </c>
      <c r="K7" s="7">
        <v>19.589018</v>
      </c>
      <c r="L7" s="4">
        <v>0.3487891106312935</v>
      </c>
      <c r="M7" s="4">
        <v>0.7486</v>
      </c>
      <c r="N7" s="4">
        <v>0.3531</v>
      </c>
      <c r="O7" s="3" t="s">
        <v>72</v>
      </c>
      <c r="P7" s="5">
        <v>140</v>
      </c>
      <c r="Q7" s="5">
        <v>269.16544</v>
      </c>
      <c r="R7" s="5">
        <v>265</v>
      </c>
      <c r="S7" s="5">
        <v>380</v>
      </c>
      <c r="T7" s="7">
        <v>4.9</v>
      </c>
      <c r="U7" s="7">
        <v>8.34076</v>
      </c>
      <c r="V7" s="7">
        <v>11.28592</v>
      </c>
    </row>
    <row r="8" spans="1:22" ht="18" customHeight="1">
      <c r="A8" s="3" t="s">
        <v>182</v>
      </c>
      <c r="B8" s="4">
        <v>0.0562</v>
      </c>
      <c r="C8" s="4">
        <v>0.9065639034701378</v>
      </c>
      <c r="D8" s="4">
        <v>-0.5006462261165709</v>
      </c>
      <c r="E8" s="4">
        <v>-0.2346156793226827</v>
      </c>
      <c r="F8" s="4">
        <v>-0.257637004501262</v>
      </c>
      <c r="G8" s="4">
        <v>0.145576304791396</v>
      </c>
      <c r="H8" s="15"/>
      <c r="I8" s="6">
        <v>170.2200012207031</v>
      </c>
      <c r="J8" s="7">
        <v>55.627453</v>
      </c>
      <c r="K8" s="7">
        <v>31.319632</v>
      </c>
      <c r="L8" s="4">
        <v>-0.2493321876767878</v>
      </c>
      <c r="M8" s="4">
        <v>0.34919998</v>
      </c>
      <c r="N8" s="4">
        <v>0.4184</v>
      </c>
      <c r="O8" s="3" t="s">
        <v>182</v>
      </c>
      <c r="P8" s="5">
        <v>85</v>
      </c>
      <c r="Q8" s="5">
        <v>130.28372</v>
      </c>
      <c r="R8" s="5">
        <v>126.36503</v>
      </c>
      <c r="S8" s="5">
        <v>195</v>
      </c>
      <c r="T8" s="7">
        <v>3.07</v>
      </c>
      <c r="U8" s="7">
        <v>3.8317</v>
      </c>
      <c r="V8" s="7">
        <v>5.43493</v>
      </c>
    </row>
    <row r="9" spans="1:22" ht="18" customHeight="1">
      <c r="A9" s="3" t="s">
        <v>83</v>
      </c>
      <c r="B9" s="4">
        <v>0.0471</v>
      </c>
      <c r="C9" s="4">
        <v>0.6590383071128598</v>
      </c>
      <c r="D9" s="4">
        <v>-0.3715788869508565</v>
      </c>
      <c r="E9" s="4">
        <v>-0.01386733771018456</v>
      </c>
      <c r="F9" s="4">
        <v>-0.001259302475468349</v>
      </c>
      <c r="G9" s="4">
        <v>0.2343986149179604</v>
      </c>
      <c r="H9" s="15"/>
      <c r="I9" s="6">
        <v>445.5610961914062</v>
      </c>
      <c r="J9" s="7">
        <v>45.693333</v>
      </c>
      <c r="K9" s="7">
        <v>30.950598</v>
      </c>
      <c r="L9" s="4">
        <v>0.5839540115112469</v>
      </c>
      <c r="M9" s="4">
        <v>0.17959999</v>
      </c>
      <c r="N9" s="4">
        <v>0.2953</v>
      </c>
      <c r="O9" s="3" t="s">
        <v>83</v>
      </c>
      <c r="P9" s="5">
        <v>280</v>
      </c>
      <c r="Q9" s="5">
        <v>439.38235</v>
      </c>
      <c r="R9" s="5">
        <v>445</v>
      </c>
      <c r="S9" s="5">
        <v>550</v>
      </c>
      <c r="T9" s="7">
        <v>8.66</v>
      </c>
      <c r="U9" s="7">
        <v>11.11229</v>
      </c>
      <c r="V9" s="7">
        <v>14.39423</v>
      </c>
    </row>
    <row r="10" spans="1:22" ht="18" customHeight="1">
      <c r="A10" s="3" t="s">
        <v>180</v>
      </c>
      <c r="B10" s="4">
        <v>0.0415</v>
      </c>
      <c r="C10" s="4">
        <v>0.3656901539191428</v>
      </c>
      <c r="D10" s="4">
        <v>-0.5744861821309</v>
      </c>
      <c r="E10" s="4">
        <v>-0.256037129965916</v>
      </c>
      <c r="F10" s="4">
        <v>-0.3191778914094399</v>
      </c>
      <c r="G10" s="4">
        <v>0.2765414536073003</v>
      </c>
      <c r="H10" s="15"/>
      <c r="I10" s="6">
        <v>235.0099945068359</v>
      </c>
      <c r="J10" s="7">
        <v>25.266953</v>
      </c>
      <c r="K10" s="7">
        <v>22.070528</v>
      </c>
      <c r="L10" s="4">
        <v>0.1382380986395715</v>
      </c>
      <c r="M10" s="4">
        <v>-0.1062</v>
      </c>
      <c r="N10" s="4">
        <v>-0.0109</v>
      </c>
      <c r="O10" s="3" t="s">
        <v>180</v>
      </c>
      <c r="P10" s="5">
        <v>100</v>
      </c>
      <c r="Q10" s="5">
        <v>174.83871</v>
      </c>
      <c r="R10" s="5">
        <v>160</v>
      </c>
      <c r="S10" s="5">
        <v>300</v>
      </c>
      <c r="T10" s="7">
        <v>5.01</v>
      </c>
      <c r="U10" s="7">
        <v>10.75261</v>
      </c>
      <c r="V10" s="7">
        <v>10.63545</v>
      </c>
    </row>
    <row r="11" spans="1:22" ht="18" customHeight="1">
      <c r="A11" s="3" t="s">
        <v>123</v>
      </c>
      <c r="B11" s="4">
        <v>0.0378</v>
      </c>
      <c r="C11" s="4">
        <v>0.762431928006817</v>
      </c>
      <c r="D11" s="4">
        <v>-0.08919236460353075</v>
      </c>
      <c r="E11" s="4">
        <v>0.09123425609185998</v>
      </c>
      <c r="F11" s="4">
        <v>0.1005592261040671</v>
      </c>
      <c r="G11" s="4">
        <v>0.2144101805286256</v>
      </c>
      <c r="H11" s="15"/>
      <c r="I11" s="6">
        <v>1646.890014648438</v>
      </c>
      <c r="J11" s="7">
        <v>118.22613</v>
      </c>
      <c r="K11" s="7">
        <v>54.60717</v>
      </c>
      <c r="L11" s="4">
        <v>0.5379549276510605</v>
      </c>
      <c r="M11" s="4">
        <v>0.3518</v>
      </c>
      <c r="N11" s="4">
        <v>0.2555</v>
      </c>
      <c r="O11" s="3" t="s">
        <v>123</v>
      </c>
      <c r="P11" s="5">
        <v>1500</v>
      </c>
      <c r="Q11" s="5">
        <v>1797.1428</v>
      </c>
      <c r="R11" s="5">
        <v>1812.5</v>
      </c>
      <c r="S11" s="5">
        <v>2000</v>
      </c>
      <c r="T11" s="7">
        <v>12.86</v>
      </c>
      <c r="U11" s="7">
        <v>24.02205</v>
      </c>
      <c r="V11" s="7">
        <v>30.15886</v>
      </c>
    </row>
    <row r="12" spans="1:22" ht="18" customHeight="1">
      <c r="A12" s="3" t="s">
        <v>183</v>
      </c>
      <c r="B12" s="4">
        <v>0.0366</v>
      </c>
      <c r="C12" s="4">
        <v>0.6788507342518608</v>
      </c>
      <c r="D12" s="4">
        <v>-0.3211133881316872</v>
      </c>
      <c r="E12" s="4">
        <v>-0.05274102437749473</v>
      </c>
      <c r="F12" s="4">
        <v>-0.05295317644370356</v>
      </c>
      <c r="G12" s="4">
        <v>0.1541072401761319</v>
      </c>
      <c r="H12" s="15"/>
      <c r="I12" s="6">
        <v>294.6000061035156</v>
      </c>
      <c r="J12" s="7">
        <v>50.445206</v>
      </c>
      <c r="K12" s="7">
        <v>32.02261</v>
      </c>
      <c r="L12" s="4">
        <v>-0.04186844060642492</v>
      </c>
      <c r="M12" s="4">
        <v>0.39040002</v>
      </c>
      <c r="N12" s="4">
        <v>0.18370001</v>
      </c>
      <c r="O12" s="3" t="s">
        <v>183</v>
      </c>
      <c r="P12" s="5">
        <v>200</v>
      </c>
      <c r="Q12" s="5">
        <v>279.0625</v>
      </c>
      <c r="R12" s="5">
        <v>279</v>
      </c>
      <c r="S12" s="5">
        <v>340</v>
      </c>
      <c r="T12" s="7">
        <v>5.45</v>
      </c>
      <c r="U12" s="7">
        <v>7.67388</v>
      </c>
      <c r="V12" s="7">
        <v>8.86983</v>
      </c>
    </row>
    <row r="13" spans="1:22" ht="18" customHeight="1">
      <c r="A13" s="3" t="s">
        <v>184</v>
      </c>
      <c r="B13" s="4">
        <v>0.035</v>
      </c>
      <c r="C13" s="4">
        <v>0.3682808835196723</v>
      </c>
      <c r="D13" s="4">
        <v>-0.3360114017671036</v>
      </c>
      <c r="E13" s="4">
        <v>-0.01397693162414892</v>
      </c>
      <c r="F13" s="4">
        <v>-0.00401710265065558</v>
      </c>
      <c r="G13" s="4">
        <v>0.1453803319517462</v>
      </c>
      <c r="H13" s="15"/>
      <c r="I13" s="6">
        <v>301.2099914550781</v>
      </c>
      <c r="J13" s="7">
        <v>28.796366</v>
      </c>
      <c r="K13" s="7">
        <v>17.097095</v>
      </c>
      <c r="L13" s="4">
        <v>0.07239398214187198</v>
      </c>
      <c r="M13" s="4">
        <v>0.2494</v>
      </c>
      <c r="N13" s="4">
        <v>0.19389999</v>
      </c>
      <c r="O13" s="3" t="s">
        <v>184</v>
      </c>
      <c r="P13" s="5">
        <v>200</v>
      </c>
      <c r="Q13" s="5">
        <v>297</v>
      </c>
      <c r="R13" s="5">
        <v>300</v>
      </c>
      <c r="S13" s="5">
        <v>345</v>
      </c>
      <c r="T13" s="7">
        <v>7.95</v>
      </c>
      <c r="U13" s="7">
        <v>14.7559</v>
      </c>
      <c r="V13" s="7">
        <v>17.61761</v>
      </c>
    </row>
    <row r="14" spans="1:22" ht="18" customHeight="1">
      <c r="A14" s="3" t="s">
        <v>77</v>
      </c>
      <c r="B14" s="4">
        <v>0.0339</v>
      </c>
      <c r="C14" s="4">
        <v>0.6078085593035716</v>
      </c>
      <c r="D14" s="4">
        <v>-0.2597203701151696</v>
      </c>
      <c r="E14" s="4">
        <v>0.0446985970036633</v>
      </c>
      <c r="F14" s="4">
        <v>0.05994583369873441</v>
      </c>
      <c r="G14" s="4">
        <v>0.2954893522984532</v>
      </c>
      <c r="H14" s="15"/>
      <c r="I14" s="6">
        <v>297.1849975585938</v>
      </c>
      <c r="J14" s="7">
        <v>56.17864</v>
      </c>
      <c r="K14" s="7">
        <v>37.556835</v>
      </c>
      <c r="L14" s="4">
        <v>1.384699777556252</v>
      </c>
      <c r="M14" s="4">
        <v>0.37080002</v>
      </c>
      <c r="N14" s="4">
        <v>0.3944</v>
      </c>
      <c r="O14" s="3" t="s">
        <v>77</v>
      </c>
      <c r="P14" s="5">
        <v>220</v>
      </c>
      <c r="Q14" s="5">
        <v>310.46875</v>
      </c>
      <c r="R14" s="5">
        <v>315</v>
      </c>
      <c r="S14" s="5">
        <v>385</v>
      </c>
      <c r="T14" s="7">
        <v>4.15</v>
      </c>
      <c r="U14" s="7">
        <v>5.675</v>
      </c>
      <c r="V14" s="7">
        <v>7.91294</v>
      </c>
    </row>
    <row r="15" spans="1:22" ht="18" customHeight="1">
      <c r="A15" s="3" t="s">
        <v>90</v>
      </c>
      <c r="B15" s="4">
        <v>0.0331</v>
      </c>
      <c r="C15" s="4">
        <v>0.4556030938794997</v>
      </c>
      <c r="D15" s="4">
        <v>-0.2443521934955966</v>
      </c>
      <c r="E15" s="4">
        <v>-0.009207981872569992</v>
      </c>
      <c r="F15" s="4">
        <v>0.0120283122826832</v>
      </c>
      <c r="G15" s="4">
        <v>0.1334717097566052</v>
      </c>
      <c r="H15" s="15"/>
      <c r="I15" s="6">
        <v>1852.714965820312</v>
      </c>
      <c r="J15" s="7">
        <v>52.440273</v>
      </c>
      <c r="K15" s="7">
        <v>37.27304</v>
      </c>
      <c r="L15" s="4">
        <v>0.9249564605495981</v>
      </c>
      <c r="M15" s="4">
        <v>0.11399999</v>
      </c>
      <c r="N15" s="4">
        <v>0.34080002</v>
      </c>
      <c r="O15" s="3" t="s">
        <v>90</v>
      </c>
      <c r="P15" s="5">
        <v>1400</v>
      </c>
      <c r="Q15" s="5">
        <v>1835.6552</v>
      </c>
      <c r="R15" s="5">
        <v>1875</v>
      </c>
      <c r="S15" s="5">
        <v>2100</v>
      </c>
      <c r="T15" s="7">
        <v>20.28</v>
      </c>
      <c r="U15" s="7">
        <v>37.0733</v>
      </c>
      <c r="V15" s="7">
        <v>49.70657</v>
      </c>
    </row>
    <row r="16" spans="1:22" ht="18" customHeight="1">
      <c r="A16" s="3" t="s">
        <v>100</v>
      </c>
      <c r="B16" s="4">
        <v>0.0316</v>
      </c>
      <c r="C16" s="4">
        <v>0.5324372388282868</v>
      </c>
      <c r="D16" s="4">
        <v>-0.2945621379148184</v>
      </c>
      <c r="E16" s="4">
        <v>-0.05689629607466207</v>
      </c>
      <c r="F16" s="4">
        <v>-0.04347408530822838</v>
      </c>
      <c r="G16" s="4">
        <v>0.1358745236964787</v>
      </c>
      <c r="H16" s="15"/>
      <c r="I16" s="6">
        <v>418.1799926757812</v>
      </c>
      <c r="J16" s="7">
        <v>76.58974499999999</v>
      </c>
      <c r="K16" s="7">
        <v>31.799915</v>
      </c>
      <c r="L16" s="4">
        <v>0.3043408740641875</v>
      </c>
      <c r="M16" s="4">
        <v>0.4721</v>
      </c>
      <c r="N16" s="4">
        <v>0.1467</v>
      </c>
      <c r="O16" s="3" t="s">
        <v>100</v>
      </c>
      <c r="P16" s="5">
        <v>295</v>
      </c>
      <c r="Q16" s="5">
        <v>394.3871</v>
      </c>
      <c r="R16" s="5">
        <v>400</v>
      </c>
      <c r="S16" s="5">
        <v>475</v>
      </c>
      <c r="T16" s="7">
        <v>4.56</v>
      </c>
      <c r="U16" s="7">
        <v>11.46783</v>
      </c>
      <c r="V16" s="7">
        <v>13.15035</v>
      </c>
    </row>
    <row r="17" spans="1:22" ht="18" customHeight="1">
      <c r="A17" s="3" t="s">
        <v>128</v>
      </c>
      <c r="B17" s="4">
        <v>0.0303</v>
      </c>
      <c r="C17" s="4">
        <v>0.764878152605651</v>
      </c>
      <c r="D17" s="4">
        <v>-0.2626275212016174</v>
      </c>
      <c r="E17" s="4">
        <v>0.00918823857158757</v>
      </c>
      <c r="F17" s="4">
        <v>0.05690055294434848</v>
      </c>
      <c r="G17" s="4">
        <v>0.2835743149453327</v>
      </c>
      <c r="H17" s="15"/>
      <c r="I17" s="6">
        <v>366.1650085449219</v>
      </c>
      <c r="J17" s="7">
        <v>67.808334</v>
      </c>
      <c r="K17" s="7">
        <v>38.490124</v>
      </c>
      <c r="L17" s="4">
        <v>0.5360536956622735</v>
      </c>
      <c r="M17" s="4">
        <v>0.8128</v>
      </c>
      <c r="N17" s="4">
        <v>0.3252</v>
      </c>
      <c r="O17" s="3" t="s">
        <v>128</v>
      </c>
      <c r="P17" s="5">
        <v>270</v>
      </c>
      <c r="Q17" s="5">
        <v>369.52942</v>
      </c>
      <c r="R17" s="5">
        <v>387</v>
      </c>
      <c r="S17" s="5">
        <v>470</v>
      </c>
      <c r="T17" s="7">
        <v>3.47</v>
      </c>
      <c r="U17" s="7">
        <v>7.17873</v>
      </c>
      <c r="V17" s="7">
        <v>9.51322</v>
      </c>
    </row>
    <row r="18" spans="1:22" ht="18" customHeight="1">
      <c r="A18" s="3" t="s">
        <v>185</v>
      </c>
      <c r="B18" s="4">
        <v>0.0293</v>
      </c>
      <c r="C18" s="4">
        <v>0.5015621242056911</v>
      </c>
      <c r="D18" s="4">
        <v>-0.2274014694021776</v>
      </c>
      <c r="E18" s="4">
        <v>0.1582797170722552</v>
      </c>
      <c r="F18" s="4">
        <v>0.2361576489565158</v>
      </c>
      <c r="G18" s="4">
        <v>0.3906773550760803</v>
      </c>
      <c r="H18" s="15"/>
      <c r="I18" s="6">
        <v>97.07499694824219</v>
      </c>
      <c r="J18" s="7">
        <v>441.25</v>
      </c>
      <c r="K18" s="7">
        <v>23.758652</v>
      </c>
      <c r="L18" s="4">
        <v>0.1556103721876427</v>
      </c>
      <c r="M18" s="4">
        <v>0.92660004</v>
      </c>
      <c r="N18" s="4">
        <v>0.2932</v>
      </c>
      <c r="O18" s="3" t="s">
        <v>185</v>
      </c>
      <c r="P18" s="5">
        <v>75</v>
      </c>
      <c r="Q18" s="5">
        <v>112.44</v>
      </c>
      <c r="R18" s="5">
        <v>120</v>
      </c>
      <c r="S18" s="5">
        <v>135</v>
      </c>
      <c r="T18" s="7">
        <v>-0.01</v>
      </c>
      <c r="U18" s="7">
        <v>3.15956</v>
      </c>
      <c r="V18" s="7">
        <v>4.08588</v>
      </c>
    </row>
    <row r="19" spans="1:22" ht="18" customHeight="1">
      <c r="A19" s="3" t="s">
        <v>178</v>
      </c>
      <c r="B19" s="4">
        <v>0.0272</v>
      </c>
      <c r="C19" s="4">
        <v>0.2679300107856024</v>
      </c>
      <c r="D19" s="4">
        <v>-0.1314125769265305</v>
      </c>
      <c r="E19" s="4">
        <v>0.1468605619538226</v>
      </c>
      <c r="F19" s="4">
        <v>0.169252300291209</v>
      </c>
      <c r="G19" s="4">
        <v>0.4847648257666146</v>
      </c>
      <c r="H19" s="15"/>
      <c r="I19" s="6">
        <v>404.1044006347656</v>
      </c>
      <c r="J19" s="7">
        <v>34.568386</v>
      </c>
      <c r="K19" s="7">
        <v>20.94654</v>
      </c>
      <c r="L19" s="4">
        <v>0.5278534831990382</v>
      </c>
      <c r="M19" s="4">
        <v>0.45069999</v>
      </c>
      <c r="N19" s="4">
        <v>0.24870001</v>
      </c>
      <c r="O19" s="3" t="s">
        <v>178</v>
      </c>
      <c r="P19" s="5">
        <v>351</v>
      </c>
      <c r="Q19" s="5">
        <v>463.4514</v>
      </c>
      <c r="R19" s="5">
        <v>472.5</v>
      </c>
      <c r="S19" s="5">
        <v>600</v>
      </c>
      <c r="T19" s="7">
        <v>331.25</v>
      </c>
      <c r="U19" s="7">
        <v>15.4503</v>
      </c>
      <c r="V19" s="7">
        <v>19.29218</v>
      </c>
    </row>
    <row r="20" spans="1:22" ht="18" customHeight="1">
      <c r="A20" s="3" t="s">
        <v>179</v>
      </c>
      <c r="B20" s="4">
        <v>0.0272</v>
      </c>
      <c r="C20" s="4">
        <v>0.3449523108398751</v>
      </c>
      <c r="D20" s="4">
        <v>-0.4157839960668529</v>
      </c>
      <c r="E20" s="4">
        <v>0.07607259417569279</v>
      </c>
      <c r="F20" s="4">
        <v>0.1244783742490934</v>
      </c>
      <c r="G20" s="4">
        <v>0.2973266959857888</v>
      </c>
      <c r="H20" s="15"/>
      <c r="I20" s="6">
        <v>1559.760009765625</v>
      </c>
      <c r="J20" s="7">
        <v>51.291023</v>
      </c>
      <c r="K20" s="7">
        <v>32.354214</v>
      </c>
      <c r="L20" s="4">
        <v>0.5420508917093201</v>
      </c>
      <c r="M20" s="4">
        <v>0.2711</v>
      </c>
      <c r="N20" s="4">
        <v>0.3022</v>
      </c>
      <c r="O20" s="3" t="s">
        <v>179</v>
      </c>
      <c r="P20" s="5">
        <v>911.23676</v>
      </c>
      <c r="Q20" s="5">
        <v>1678.415</v>
      </c>
      <c r="R20" s="5">
        <v>1753.9164</v>
      </c>
      <c r="S20" s="5">
        <v>2023.5183</v>
      </c>
      <c r="T20" s="7">
        <v>26.26</v>
      </c>
      <c r="U20" s="7">
        <v>31.40828</v>
      </c>
      <c r="V20" s="7">
        <v>40.90003</v>
      </c>
    </row>
    <row r="21" spans="1:22" ht="18" customHeight="1">
      <c r="A21" s="3" t="s">
        <v>186</v>
      </c>
      <c r="B21" s="4">
        <v>0.0226</v>
      </c>
      <c r="C21" s="4">
        <v>0.8712521524950441</v>
      </c>
      <c r="D21" s="4">
        <v>-0.3590951839967659</v>
      </c>
      <c r="E21" s="4">
        <v>-0.02499263442277877</v>
      </c>
      <c r="F21" s="4">
        <v>-0.04806784681872578</v>
      </c>
      <c r="G21" s="4">
        <v>0.1781338529471215</v>
      </c>
      <c r="H21" s="15"/>
      <c r="I21" s="6">
        <v>106.0999984741211</v>
      </c>
      <c r="J21" s="7">
        <v>78.0147</v>
      </c>
      <c r="K21" s="7">
        <v>24.875156</v>
      </c>
      <c r="L21" s="4">
        <v>-0.1225084697902059</v>
      </c>
      <c r="M21" s="4">
        <v>0.3147</v>
      </c>
      <c r="N21" s="4">
        <v>0.3805</v>
      </c>
      <c r="O21" s="3" t="s">
        <v>186</v>
      </c>
      <c r="P21" s="5">
        <v>68</v>
      </c>
      <c r="Q21" s="5">
        <v>103.44828</v>
      </c>
      <c r="R21" s="5">
        <v>101</v>
      </c>
      <c r="S21" s="5">
        <v>125</v>
      </c>
      <c r="T21" s="7">
        <v>0.29</v>
      </c>
      <c r="U21" s="7">
        <v>3.08965</v>
      </c>
      <c r="V21" s="7">
        <v>4.2653</v>
      </c>
    </row>
    <row r="22" spans="1:22" ht="18" customHeight="1">
      <c r="A22" s="3" t="s">
        <v>187</v>
      </c>
      <c r="B22" s="4">
        <v>0.017</v>
      </c>
      <c r="C22" s="9" t="s">
        <v>79</v>
      </c>
      <c r="D22" s="4">
        <v>-0.185355539742025</v>
      </c>
      <c r="E22" s="4">
        <v>0.00194348925844956</v>
      </c>
      <c r="F22" s="4">
        <v>-0.0283208399617082</v>
      </c>
      <c r="G22" s="4">
        <v>0.2459268215710206</v>
      </c>
      <c r="H22" s="15"/>
      <c r="I22" s="6">
        <v>208.6799926757812</v>
      </c>
      <c r="J22" s="7">
        <v>114.03278</v>
      </c>
      <c r="K22" s="7">
        <v>37.83341</v>
      </c>
      <c r="L22" s="4">
        <v>1.02861974863334</v>
      </c>
      <c r="M22" s="4">
        <v>0.037322</v>
      </c>
      <c r="N22" s="4">
        <v>0.66510004</v>
      </c>
      <c r="O22" s="3" t="s">
        <v>187</v>
      </c>
      <c r="P22" s="5">
        <v>170</v>
      </c>
      <c r="Q22" s="5">
        <v>209.08556</v>
      </c>
      <c r="R22" s="5">
        <v>202.77</v>
      </c>
      <c r="S22" s="5">
        <v>260</v>
      </c>
      <c r="T22" s="7">
        <v>0.29</v>
      </c>
      <c r="U22" s="7">
        <v>3.31252</v>
      </c>
      <c r="V22" s="7">
        <v>5.51576</v>
      </c>
    </row>
    <row r="23" spans="1:22" ht="18" customHeight="1">
      <c r="A23" s="3" t="s">
        <v>188</v>
      </c>
      <c r="B23" s="4">
        <v>0.0151</v>
      </c>
      <c r="C23" s="4">
        <v>0.1436289201134908</v>
      </c>
      <c r="D23" s="4">
        <v>-0.2533513735436161</v>
      </c>
      <c r="E23" s="4">
        <v>0.1809823851563455</v>
      </c>
      <c r="F23" s="4">
        <v>0.2539566220913376</v>
      </c>
      <c r="G23" s="4">
        <v>0.4463111330529212</v>
      </c>
      <c r="H23" s="15"/>
      <c r="I23" s="6">
        <v>205.3500061035156</v>
      </c>
      <c r="J23" s="7">
        <v>138.75</v>
      </c>
      <c r="K23" s="7">
        <v>49.16797</v>
      </c>
      <c r="L23" s="4">
        <v>0.2356829427077429</v>
      </c>
      <c r="M23" s="4">
        <v>0.6308</v>
      </c>
      <c r="N23" s="4">
        <v>0.39189997</v>
      </c>
      <c r="O23" s="3" t="s">
        <v>188</v>
      </c>
      <c r="P23" s="5">
        <v>153.3243</v>
      </c>
      <c r="Q23" s="5">
        <v>242.51474</v>
      </c>
      <c r="R23" s="5">
        <v>257.5</v>
      </c>
      <c r="S23" s="5">
        <v>297</v>
      </c>
      <c r="T23" s="7">
        <v>1.22</v>
      </c>
      <c r="U23" s="7">
        <v>3.00062</v>
      </c>
      <c r="V23" s="7">
        <v>4.1765</v>
      </c>
    </row>
    <row r="24" spans="1:22" ht="18" customHeight="1">
      <c r="A24" s="3" t="s">
        <v>189</v>
      </c>
      <c r="B24" s="4">
        <v>0.0135</v>
      </c>
      <c r="C24" s="4">
        <v>1.043124043327773</v>
      </c>
      <c r="D24" s="4">
        <v>-0.03487053687938779</v>
      </c>
      <c r="E24" s="4">
        <v>0.0894173247438641</v>
      </c>
      <c r="F24" s="4">
        <v>0.07003483954676581</v>
      </c>
      <c r="G24" s="4">
        <v>0.258864517113842</v>
      </c>
      <c r="H24" s="15"/>
      <c r="I24" s="6">
        <v>357.4649963378906</v>
      </c>
      <c r="J24" s="7">
        <v>152.76282</v>
      </c>
      <c r="K24" s="7">
        <v>52.223858</v>
      </c>
      <c r="L24" s="4">
        <v>0.3233408674320859</v>
      </c>
      <c r="M24" s="4">
        <v>0.4483</v>
      </c>
      <c r="N24" s="4">
        <v>0.36200002</v>
      </c>
      <c r="O24" s="3" t="s">
        <v>189</v>
      </c>
      <c r="P24" s="5">
        <v>345</v>
      </c>
      <c r="Q24" s="5">
        <v>389.42856</v>
      </c>
      <c r="R24" s="5">
        <v>382.5</v>
      </c>
      <c r="S24" s="5">
        <v>450</v>
      </c>
      <c r="T24" s="7">
        <v>-0.73</v>
      </c>
      <c r="U24" s="7">
        <v>5.02551</v>
      </c>
      <c r="V24" s="7">
        <v>6.84486</v>
      </c>
    </row>
    <row r="25" spans="1:22" ht="18" customHeight="1">
      <c r="A25" s="3" t="s">
        <v>190</v>
      </c>
      <c r="B25" s="4">
        <v>0.0126</v>
      </c>
      <c r="C25" s="4">
        <v>0.6689631236501739</v>
      </c>
      <c r="D25" s="4">
        <v>-0.2294548979032647</v>
      </c>
      <c r="E25" s="4">
        <v>0.07273278996249832</v>
      </c>
      <c r="F25" s="4">
        <v>0.08881373122364766</v>
      </c>
      <c r="G25" s="4">
        <v>0.3735803993898323</v>
      </c>
      <c r="H25" s="15"/>
      <c r="I25" s="6">
        <v>149.2449951171875</v>
      </c>
      <c r="J25" s="7">
        <v>86.26878000000001</v>
      </c>
      <c r="K25" s="7">
        <v>32.40821</v>
      </c>
      <c r="L25" s="4">
        <v>-0.1296178574983642</v>
      </c>
      <c r="M25" s="4">
        <v>0.32169998</v>
      </c>
      <c r="N25" s="4">
        <v>0.26700002</v>
      </c>
      <c r="O25" s="3" t="s">
        <v>190</v>
      </c>
      <c r="P25" s="5">
        <v>115</v>
      </c>
      <c r="Q25" s="5">
        <v>160.1</v>
      </c>
      <c r="R25" s="5">
        <v>162.5</v>
      </c>
      <c r="S25" s="5">
        <v>205</v>
      </c>
      <c r="T25" s="7">
        <v>1.55</v>
      </c>
      <c r="U25" s="7">
        <v>3.6348</v>
      </c>
      <c r="V25" s="7">
        <v>4.60516</v>
      </c>
    </row>
    <row r="26" spans="1:22" ht="18" customHeight="1">
      <c r="A26" s="3" t="s">
        <v>191</v>
      </c>
      <c r="B26" s="4">
        <v>0.0098</v>
      </c>
      <c r="C26" s="4">
        <v>1.084181496320605</v>
      </c>
      <c r="D26" s="4">
        <v>0.0244939047763586</v>
      </c>
      <c r="E26" s="4">
        <v>0.0998386015132946</v>
      </c>
      <c r="F26" s="4">
        <v>0.05132084683620808</v>
      </c>
      <c r="G26" s="4">
        <v>0.2237010529273173</v>
      </c>
      <c r="H26" s="15"/>
      <c r="I26" s="6">
        <v>35.13930130004883</v>
      </c>
      <c r="J26" s="7">
        <v>54.060467</v>
      </c>
      <c r="K26" s="7">
        <v>22.15439</v>
      </c>
      <c r="L26" s="4">
        <v>0.6645424337649208</v>
      </c>
      <c r="M26" s="4">
        <v>0.89699996</v>
      </c>
      <c r="N26" s="4">
        <v>0.4643</v>
      </c>
      <c r="O26" s="3" t="s">
        <v>191</v>
      </c>
      <c r="P26" s="5">
        <v>36</v>
      </c>
      <c r="Q26" s="5">
        <v>38.64756</v>
      </c>
      <c r="R26" s="5">
        <v>36.94268</v>
      </c>
      <c r="S26" s="5">
        <v>43</v>
      </c>
      <c r="T26" s="7">
        <v>17.78</v>
      </c>
      <c r="U26" s="7">
        <v>1.0832</v>
      </c>
      <c r="V26" s="7">
        <v>1.58611</v>
      </c>
    </row>
    <row r="27" spans="1:22" ht="18" customHeight="1">
      <c r="A27" s="3" t="s">
        <v>192</v>
      </c>
      <c r="B27" s="4">
        <v>0.0092</v>
      </c>
      <c r="C27" s="4">
        <v>0.5140208741501773</v>
      </c>
      <c r="D27" s="4">
        <v>-0.1385867578271076</v>
      </c>
      <c r="E27" s="4">
        <v>-0.05444208682015284</v>
      </c>
      <c r="F27" s="4">
        <v>-0.03970488455339816</v>
      </c>
      <c r="G27" s="4">
        <v>-0.001673394832740649</v>
      </c>
      <c r="H27" s="15"/>
      <c r="I27" s="6">
        <v>525.8800048828125</v>
      </c>
      <c r="J27" s="7">
        <v>66.06533</v>
      </c>
      <c r="K27" s="7">
        <v>42.09414</v>
      </c>
      <c r="L27" s="4">
        <v>0.619040633456025</v>
      </c>
      <c r="M27" s="4">
        <v>0.1983</v>
      </c>
      <c r="N27" s="4">
        <v>0.20950001</v>
      </c>
      <c r="O27" s="3" t="s">
        <v>192</v>
      </c>
      <c r="P27" s="5">
        <v>453</v>
      </c>
      <c r="Q27" s="5">
        <v>497.25</v>
      </c>
      <c r="R27" s="5">
        <v>505</v>
      </c>
      <c r="S27" s="5">
        <v>525</v>
      </c>
      <c r="T27" s="7">
        <v>7.96</v>
      </c>
      <c r="U27" s="7">
        <v>10.32902</v>
      </c>
      <c r="V27" s="7">
        <v>12.49295</v>
      </c>
    </row>
    <row r="28" spans="1:22" ht="18" customHeight="1">
      <c r="A28" s="3" t="s">
        <v>193</v>
      </c>
      <c r="B28" s="4">
        <v>0.0077</v>
      </c>
      <c r="C28" s="4">
        <v>0.3387389735728468</v>
      </c>
      <c r="D28" s="4">
        <v>-0.247611186181101</v>
      </c>
      <c r="E28" s="4">
        <v>0.04770142324281701</v>
      </c>
      <c r="F28" s="4">
        <v>0.09096378003740369</v>
      </c>
      <c r="G28" s="4">
        <v>0.2941087597685064</v>
      </c>
      <c r="H28" s="15"/>
      <c r="I28" s="6">
        <v>132.9100036621094</v>
      </c>
      <c r="J28" s="7">
        <v>63.593307</v>
      </c>
      <c r="K28" s="7">
        <v>36.625526</v>
      </c>
      <c r="L28" s="4">
        <v>0.7175700820495035</v>
      </c>
      <c r="M28" s="4">
        <v>0.2042</v>
      </c>
      <c r="N28" s="4">
        <v>0.22700001</v>
      </c>
      <c r="O28" s="3" t="s">
        <v>193</v>
      </c>
      <c r="P28" s="5">
        <v>100</v>
      </c>
      <c r="Q28" s="5">
        <v>139.25</v>
      </c>
      <c r="R28" s="5">
        <v>145</v>
      </c>
      <c r="S28" s="5">
        <v>172</v>
      </c>
      <c r="T28" s="7">
        <v>2.11</v>
      </c>
      <c r="U28" s="7">
        <v>2.9575</v>
      </c>
      <c r="V28" s="7">
        <v>3.62889</v>
      </c>
    </row>
    <row r="29" spans="1:22" ht="18" customHeight="1">
      <c r="A29" s="3" t="s">
        <v>194</v>
      </c>
      <c r="B29" s="4">
        <v>0.0067</v>
      </c>
      <c r="C29" s="4">
        <v>1.17360297955737</v>
      </c>
      <c r="D29" s="4">
        <v>-0.4470891185145455</v>
      </c>
      <c r="E29" s="4">
        <v>-0.09200755900950752</v>
      </c>
      <c r="F29" s="4">
        <v>-0.09814840977220063</v>
      </c>
      <c r="G29" s="4">
        <v>0.5171335162710644</v>
      </c>
      <c r="H29" s="15"/>
      <c r="I29" s="6">
        <v>59.3223991394043</v>
      </c>
      <c r="J29" s="7">
        <v>370.765</v>
      </c>
      <c r="K29" s="7">
        <v>26.601973</v>
      </c>
      <c r="L29" s="4">
        <v>0.08186117485593791</v>
      </c>
      <c r="M29" s="4">
        <v>1.2887</v>
      </c>
      <c r="N29" s="4">
        <v>0.83839995</v>
      </c>
      <c r="O29" s="3" t="s">
        <v>194</v>
      </c>
      <c r="P29" s="5">
        <v>32.8</v>
      </c>
      <c r="Q29" s="5">
        <v>53.86429</v>
      </c>
      <c r="R29" s="5">
        <v>53.5</v>
      </c>
      <c r="S29" s="5">
        <v>90</v>
      </c>
      <c r="T29" s="7">
        <v>0.18</v>
      </c>
      <c r="U29" s="7">
        <v>1.08</v>
      </c>
      <c r="V29" s="7">
        <v>2.23</v>
      </c>
    </row>
    <row r="30" spans="1:22" ht="18" customHeight="1">
      <c r="A30" s="3" t="s">
        <v>195</v>
      </c>
      <c r="B30" s="4">
        <v>0.0062</v>
      </c>
      <c r="C30" s="4">
        <v>0.9866070798638971</v>
      </c>
      <c r="D30" s="4">
        <v>-0.5248796089488268</v>
      </c>
      <c r="E30" s="4">
        <v>-0.3348532823841626</v>
      </c>
      <c r="F30" s="4">
        <v>-0.3451043258483829</v>
      </c>
      <c r="G30" s="4">
        <v>-0.1820962981699679</v>
      </c>
      <c r="H30" s="15"/>
      <c r="I30" s="6">
        <v>15.57499980926514</v>
      </c>
      <c r="J30" s="7">
        <v>24.722221</v>
      </c>
      <c r="K30" s="7">
        <v>19.40834</v>
      </c>
      <c r="L30" s="4">
        <v>0.279801459989121</v>
      </c>
      <c r="M30" s="4">
        <v>0.3024</v>
      </c>
      <c r="N30" s="4">
        <v>0.1582</v>
      </c>
      <c r="O30" s="3" t="s">
        <v>195</v>
      </c>
      <c r="P30" s="5">
        <v>7.4</v>
      </c>
      <c r="Q30" s="5">
        <v>10.35966</v>
      </c>
      <c r="R30" s="5">
        <v>10.2</v>
      </c>
      <c r="S30" s="5">
        <v>12.73885</v>
      </c>
      <c r="T30" s="7">
        <v>16.35</v>
      </c>
      <c r="U30" s="7">
        <v>0.6929</v>
      </c>
      <c r="V30" s="7">
        <v>0.80249</v>
      </c>
    </row>
    <row r="31" spans="1:22" ht="18" customHeight="1">
      <c r="A31" s="3" t="s">
        <v>196</v>
      </c>
      <c r="B31" s="4">
        <v>0.005600000000000001</v>
      </c>
      <c r="C31" s="4">
        <v>0.08226384953740551</v>
      </c>
      <c r="D31" s="4">
        <v>-0.2013939624428197</v>
      </c>
      <c r="E31" s="4">
        <v>0.07678070339093157</v>
      </c>
      <c r="F31" s="4">
        <v>0.04544790371121787</v>
      </c>
      <c r="G31" s="4">
        <v>0.539131636019293</v>
      </c>
      <c r="H31" s="15"/>
      <c r="I31" s="6">
        <v>68.87000274658203</v>
      </c>
      <c r="J31" s="7">
        <v>28.695833</v>
      </c>
      <c r="K31" s="7">
        <v>13.383237</v>
      </c>
      <c r="L31" s="4">
        <v>-0.2529396653723179</v>
      </c>
      <c r="M31" s="4">
        <v>-0.155</v>
      </c>
      <c r="N31" s="4">
        <v>0.027</v>
      </c>
      <c r="O31" s="3" t="s">
        <v>196</v>
      </c>
      <c r="P31" s="5">
        <v>55</v>
      </c>
      <c r="Q31" s="5">
        <v>74.15788999999999</v>
      </c>
      <c r="R31" s="5">
        <v>72</v>
      </c>
      <c r="S31" s="5">
        <v>106</v>
      </c>
      <c r="T31" s="7">
        <v>3.08</v>
      </c>
      <c r="U31" s="7">
        <v>5.01067</v>
      </c>
      <c r="V31" s="7">
        <v>5.14599</v>
      </c>
    </row>
    <row r="32" spans="1:22" ht="18" customHeight="1">
      <c r="A32" s="3" t="s">
        <v>181</v>
      </c>
      <c r="B32" s="4">
        <v>0.0051</v>
      </c>
      <c r="C32" s="4">
        <v>0.8618495106793898</v>
      </c>
      <c r="D32" s="4">
        <v>-0.555264267924934</v>
      </c>
      <c r="E32" s="4">
        <v>0.04008210928881728</v>
      </c>
      <c r="F32" s="4">
        <v>0.1586536177745141</v>
      </c>
      <c r="G32" s="4">
        <v>0.5261457753312793</v>
      </c>
      <c r="H32" s="15"/>
      <c r="I32" s="6">
        <v>213.6100006103516</v>
      </c>
      <c r="J32" s="7">
        <v>251.30588</v>
      </c>
      <c r="K32" s="7">
        <v>70.727104</v>
      </c>
      <c r="L32" s="4">
        <v>-0.1473478926623909</v>
      </c>
      <c r="M32" s="4">
        <v>0.2207</v>
      </c>
      <c r="N32" s="4">
        <v>0.3978</v>
      </c>
      <c r="O32" s="3" t="s">
        <v>181</v>
      </c>
      <c r="P32" s="5">
        <v>95</v>
      </c>
      <c r="Q32" s="5">
        <v>222.17194</v>
      </c>
      <c r="R32" s="5">
        <v>247.5</v>
      </c>
      <c r="S32" s="5">
        <v>326</v>
      </c>
      <c r="T32" s="7">
        <v>0.85</v>
      </c>
      <c r="U32" s="7">
        <v>2.16063</v>
      </c>
      <c r="V32" s="7">
        <v>3.0202</v>
      </c>
    </row>
    <row r="35" spans="1:7" ht="18" customHeight="1">
      <c r="A35" s="16" t="s">
        <v>171</v>
      </c>
      <c r="B35" s="17">
        <f>SUM(B3:B32)</f>
        <v>0</v>
      </c>
      <c r="C35" s="17">
        <f>SUMPRODUCT(B3:B32,C3:C32)</f>
        <v>0</v>
      </c>
      <c r="D35" s="17">
        <f>SUMPRODUCT(B3:B32,D3:D32)</f>
        <v>0</v>
      </c>
      <c r="E35" s="17">
        <f>SUMPRODUCT(B3:B32,E3:E32)</f>
        <v>0</v>
      </c>
      <c r="F35" s="17">
        <f>SUMPRODUCT(B3:B32,F3:F32)</f>
        <v>0</v>
      </c>
      <c r="G35" s="17">
        <f>SUMPRODUCT(B3:B32,G3:G32)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32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32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18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73</v>
      </c>
      <c r="B3" s="4">
        <v>0.118</v>
      </c>
      <c r="C3" s="4">
        <v>1.567370573215892</v>
      </c>
      <c r="D3" s="4">
        <v>-0.6923875259544179</v>
      </c>
      <c r="E3" s="4">
        <v>-0.291002910061707</v>
      </c>
      <c r="F3" s="4">
        <v>-0.3205346958832525</v>
      </c>
      <c r="G3" s="4">
        <v>0.23539146203045</v>
      </c>
      <c r="H3" s="15"/>
      <c r="I3" s="6">
        <v>809.4600219726562</v>
      </c>
      <c r="J3" s="7">
        <v>38.168552</v>
      </c>
      <c r="K3" s="7">
        <v>7.9538054</v>
      </c>
      <c r="L3" s="4">
        <v>2.27888901203893</v>
      </c>
      <c r="M3" s="4">
        <v>0.060095</v>
      </c>
      <c r="N3" s="4">
        <v>0.7516</v>
      </c>
      <c r="O3" s="3" t="s">
        <v>73</v>
      </c>
      <c r="P3" s="5">
        <v>249</v>
      </c>
      <c r="Q3" s="5">
        <v>573.9048</v>
      </c>
      <c r="R3" s="5">
        <v>550</v>
      </c>
      <c r="S3" s="5">
        <v>1000</v>
      </c>
      <c r="T3" s="7">
        <v>7.59</v>
      </c>
      <c r="U3" s="7">
        <v>58.10855</v>
      </c>
      <c r="V3" s="7">
        <v>101.7821</v>
      </c>
    </row>
    <row r="4" spans="1:22" ht="18" customHeight="1">
      <c r="A4" s="3" t="s">
        <v>76</v>
      </c>
      <c r="B4" s="4">
        <v>0.1154</v>
      </c>
      <c r="C4" s="4">
        <v>1.078086598253505</v>
      </c>
      <c r="D4" s="4">
        <v>-0.5154934582942436</v>
      </c>
      <c r="E4" s="4">
        <v>-0.04170885255381895</v>
      </c>
      <c r="F4" s="4">
        <v>-0.02022010455058154</v>
      </c>
      <c r="G4" s="4">
        <v>0.3458515047382122</v>
      </c>
      <c r="H4" s="15"/>
      <c r="I4" s="6">
        <v>464.3900146484375</v>
      </c>
      <c r="J4" s="7">
        <v>154.79668</v>
      </c>
      <c r="K4" s="7">
        <v>35.992447</v>
      </c>
      <c r="L4" s="4">
        <v>0.7753461704239681</v>
      </c>
      <c r="M4" s="4">
        <v>0.7586000000000001</v>
      </c>
      <c r="N4" s="4">
        <v>0.7594</v>
      </c>
      <c r="O4" s="3" t="s">
        <v>76</v>
      </c>
      <c r="P4" s="5">
        <v>225</v>
      </c>
      <c r="Q4" s="5">
        <v>445.02084</v>
      </c>
      <c r="R4" s="5">
        <v>455</v>
      </c>
      <c r="S4" s="5">
        <v>625</v>
      </c>
      <c r="T4" s="7">
        <v>2.65</v>
      </c>
      <c r="U4" s="7">
        <v>7.3335</v>
      </c>
      <c r="V4" s="7">
        <v>12.90243</v>
      </c>
    </row>
    <row r="5" spans="1:22" ht="18" customHeight="1">
      <c r="A5" s="3" t="s">
        <v>78</v>
      </c>
      <c r="B5" s="4">
        <v>0.0935</v>
      </c>
      <c r="C5" s="4">
        <v>2.254233098145338</v>
      </c>
      <c r="D5" s="4">
        <v>-0.8408426017999597</v>
      </c>
      <c r="E5" s="4">
        <v>-0.3555685739547388</v>
      </c>
      <c r="F5" s="4">
        <v>-0.3641505905243487</v>
      </c>
      <c r="G5" s="4">
        <v>-0.07938367707819827</v>
      </c>
      <c r="H5" s="15"/>
      <c r="I5" s="6">
        <v>128.1750030517578</v>
      </c>
      <c r="J5" s="9" t="s">
        <v>79</v>
      </c>
      <c r="K5" s="7">
        <v>83.71769999999999</v>
      </c>
      <c r="L5" s="4">
        <v>0.8249259534597484</v>
      </c>
      <c r="M5" s="4">
        <v>0.015855</v>
      </c>
      <c r="N5" s="4">
        <v>0.4129</v>
      </c>
      <c r="O5" s="3" t="s">
        <v>78</v>
      </c>
      <c r="P5" s="5">
        <v>20.4</v>
      </c>
      <c r="Q5" s="5">
        <v>82.59999999999999</v>
      </c>
      <c r="R5" s="5">
        <v>81.5</v>
      </c>
      <c r="S5" s="5">
        <v>118</v>
      </c>
      <c r="T5" s="7">
        <v>-0.06</v>
      </c>
      <c r="U5" s="7">
        <v>1.08591</v>
      </c>
      <c r="V5" s="7">
        <v>1.53433</v>
      </c>
    </row>
    <row r="6" spans="1:22" ht="18" customHeight="1">
      <c r="A6" s="3" t="s">
        <v>74</v>
      </c>
      <c r="B6" s="4">
        <v>0.0858</v>
      </c>
      <c r="C6" s="4">
        <v>0.2369833571259599</v>
      </c>
      <c r="D6" s="4">
        <v>-0.161034735774033</v>
      </c>
      <c r="E6" s="4">
        <v>0.1081168567620403</v>
      </c>
      <c r="F6" s="4">
        <v>0.1127942046330532</v>
      </c>
      <c r="G6" s="4">
        <v>0.4681892123954421</v>
      </c>
      <c r="H6" s="15"/>
      <c r="I6" s="6">
        <v>429.1000061035156</v>
      </c>
      <c r="J6" s="7">
        <v>83.80859</v>
      </c>
      <c r="K6" s="7">
        <v>23.683695</v>
      </c>
      <c r="L6" s="4">
        <v>0.5054207913071003</v>
      </c>
      <c r="M6" s="4">
        <v>0.6753</v>
      </c>
      <c r="N6" s="4">
        <v>0.5857</v>
      </c>
      <c r="O6" s="3" t="s">
        <v>74</v>
      </c>
      <c r="P6" s="5">
        <v>360</v>
      </c>
      <c r="Q6" s="5">
        <v>475.49295</v>
      </c>
      <c r="R6" s="5">
        <v>477.5</v>
      </c>
      <c r="S6" s="5">
        <v>630</v>
      </c>
      <c r="T6" s="7">
        <v>4.77</v>
      </c>
      <c r="U6" s="7">
        <v>11.42564</v>
      </c>
      <c r="V6" s="7">
        <v>18.11795</v>
      </c>
    </row>
    <row r="7" spans="1:22" ht="18" customHeight="1">
      <c r="A7" s="3" t="s">
        <v>178</v>
      </c>
      <c r="B7" s="4">
        <v>0.0791</v>
      </c>
      <c r="C7" s="4">
        <v>0.2686692228850873</v>
      </c>
      <c r="D7" s="4">
        <v>-0.1319186744348598</v>
      </c>
      <c r="E7" s="4">
        <v>0.1461923237806837</v>
      </c>
      <c r="F7" s="4">
        <v>0.1685710151838424</v>
      </c>
      <c r="G7" s="4">
        <v>0.4838997018207523</v>
      </c>
      <c r="H7" s="15"/>
      <c r="I7" s="6">
        <v>404.3399963378906</v>
      </c>
      <c r="J7" s="7">
        <v>34.58854</v>
      </c>
      <c r="K7" s="7">
        <v>20.958752</v>
      </c>
      <c r="L7" s="4">
        <v>0.5278534831990382</v>
      </c>
      <c r="M7" s="4">
        <v>0.45069999</v>
      </c>
      <c r="N7" s="4">
        <v>0.24870001</v>
      </c>
      <c r="O7" s="3" t="s">
        <v>178</v>
      </c>
      <c r="P7" s="5">
        <v>351</v>
      </c>
      <c r="Q7" s="5">
        <v>463.4514</v>
      </c>
      <c r="R7" s="5">
        <v>472.5</v>
      </c>
      <c r="S7" s="5">
        <v>600</v>
      </c>
      <c r="T7" s="7">
        <v>331.25</v>
      </c>
      <c r="U7" s="7">
        <v>15.4503</v>
      </c>
      <c r="V7" s="7">
        <v>19.29218</v>
      </c>
    </row>
    <row r="8" spans="1:22" ht="18" customHeight="1">
      <c r="A8" s="3" t="s">
        <v>72</v>
      </c>
      <c r="B8" s="4">
        <v>0.0788</v>
      </c>
      <c r="C8" s="4">
        <v>0.1695432474528524</v>
      </c>
      <c r="D8" s="4">
        <v>-0.3661108225517372</v>
      </c>
      <c r="E8" s="4">
        <v>0.2187218525649981</v>
      </c>
      <c r="F8" s="4">
        <v>0.1998616573127832</v>
      </c>
      <c r="G8" s="4">
        <v>0.7205563387881417</v>
      </c>
      <c r="H8" s="15"/>
      <c r="I8" s="6">
        <v>220.8587951660156</v>
      </c>
      <c r="J8" s="7">
        <v>44.980915</v>
      </c>
      <c r="K8" s="7">
        <v>19.569187</v>
      </c>
      <c r="L8" s="4">
        <v>0.3487892594826754</v>
      </c>
      <c r="M8" s="4">
        <v>0.7486</v>
      </c>
      <c r="N8" s="4">
        <v>0.3531</v>
      </c>
      <c r="O8" s="3" t="s">
        <v>72</v>
      </c>
      <c r="P8" s="5">
        <v>140</v>
      </c>
      <c r="Q8" s="5">
        <v>269.16544</v>
      </c>
      <c r="R8" s="5">
        <v>265</v>
      </c>
      <c r="S8" s="5">
        <v>380</v>
      </c>
      <c r="T8" s="7">
        <v>4.9</v>
      </c>
      <c r="U8" s="7">
        <v>8.34076</v>
      </c>
      <c r="V8" s="7">
        <v>11.28592</v>
      </c>
    </row>
    <row r="9" spans="1:22" ht="18" customHeight="1">
      <c r="A9" s="3" t="s">
        <v>179</v>
      </c>
      <c r="B9" s="4">
        <v>0.07820000000000001</v>
      </c>
      <c r="C9" s="4">
        <v>0.3465777200210054</v>
      </c>
      <c r="D9" s="4">
        <v>-0.4164204741782144</v>
      </c>
      <c r="E9" s="4">
        <v>0.07490030000791048</v>
      </c>
      <c r="F9" s="4">
        <v>0.1232532221224802</v>
      </c>
      <c r="G9" s="4">
        <v>0.2959132675410827</v>
      </c>
      <c r="H9" s="15"/>
      <c r="I9" s="6">
        <v>1561.64501953125</v>
      </c>
      <c r="J9" s="7">
        <v>51.35301</v>
      </c>
      <c r="K9" s="7">
        <v>32.393314</v>
      </c>
      <c r="L9" s="4">
        <v>0.5420508917093201</v>
      </c>
      <c r="M9" s="4">
        <v>0.2711</v>
      </c>
      <c r="N9" s="4">
        <v>0.3022</v>
      </c>
      <c r="O9" s="3" t="s">
        <v>179</v>
      </c>
      <c r="P9" s="5">
        <v>911.34406</v>
      </c>
      <c r="Q9" s="5">
        <v>1678.6127</v>
      </c>
      <c r="R9" s="5">
        <v>1754.1228</v>
      </c>
      <c r="S9" s="5">
        <v>2023.7565</v>
      </c>
      <c r="T9" s="7">
        <v>26.26</v>
      </c>
      <c r="U9" s="7">
        <v>31.40828</v>
      </c>
      <c r="V9" s="7">
        <v>40.90003</v>
      </c>
    </row>
    <row r="10" spans="1:22" ht="18" customHeight="1">
      <c r="A10" s="3" t="s">
        <v>77</v>
      </c>
      <c r="B10" s="4">
        <v>0.0557</v>
      </c>
      <c r="C10" s="4">
        <v>0.6080520876612932</v>
      </c>
      <c r="D10" s="4">
        <v>-0.2598324803408917</v>
      </c>
      <c r="E10" s="4">
        <v>0.04454038463256271</v>
      </c>
      <c r="F10" s="4">
        <v>0.05978531223917782</v>
      </c>
      <c r="G10" s="4">
        <v>0.2952931594034396</v>
      </c>
      <c r="H10" s="15"/>
      <c r="I10" s="6">
        <v>297.2300109863281</v>
      </c>
      <c r="J10" s="7">
        <v>56.18715</v>
      </c>
      <c r="K10" s="7">
        <v>37.562527</v>
      </c>
      <c r="L10" s="4">
        <v>1.384700031317069</v>
      </c>
      <c r="M10" s="4">
        <v>0.37080002</v>
      </c>
      <c r="N10" s="4">
        <v>0.3944</v>
      </c>
      <c r="O10" s="3" t="s">
        <v>77</v>
      </c>
      <c r="P10" s="5">
        <v>220</v>
      </c>
      <c r="Q10" s="5">
        <v>310.46875</v>
      </c>
      <c r="R10" s="5">
        <v>315</v>
      </c>
      <c r="S10" s="5">
        <v>385</v>
      </c>
      <c r="T10" s="7">
        <v>4.15</v>
      </c>
      <c r="U10" s="7">
        <v>5.675</v>
      </c>
      <c r="V10" s="7">
        <v>7.91294</v>
      </c>
    </row>
    <row r="11" spans="1:22" ht="18" customHeight="1">
      <c r="A11" s="3" t="s">
        <v>83</v>
      </c>
      <c r="B11" s="4">
        <v>0.05309999999999999</v>
      </c>
      <c r="C11" s="4">
        <v>0.6586286181332774</v>
      </c>
      <c r="D11" s="4">
        <v>-0.3713515854580929</v>
      </c>
      <c r="E11" s="4">
        <v>-0.01351065105286675</v>
      </c>
      <c r="F11" s="4">
        <v>-0.0008980554601834001</v>
      </c>
      <c r="G11" s="4">
        <v>0.2348450999930318</v>
      </c>
      <c r="H11" s="15"/>
      <c r="I11" s="6">
        <v>445.3999938964844</v>
      </c>
      <c r="J11" s="7">
        <v>45.68205</v>
      </c>
      <c r="K11" s="7">
        <v>30.942953</v>
      </c>
      <c r="L11" s="4">
        <v>0.5839540115112469</v>
      </c>
      <c r="M11" s="4">
        <v>0.17959999</v>
      </c>
      <c r="N11" s="4">
        <v>0.2953</v>
      </c>
      <c r="O11" s="3" t="s">
        <v>83</v>
      </c>
      <c r="P11" s="5">
        <v>280</v>
      </c>
      <c r="Q11" s="5">
        <v>439.38235</v>
      </c>
      <c r="R11" s="5">
        <v>445</v>
      </c>
      <c r="S11" s="5">
        <v>550</v>
      </c>
      <c r="T11" s="7">
        <v>8.66</v>
      </c>
      <c r="U11" s="7">
        <v>11.11229</v>
      </c>
      <c r="V11" s="7">
        <v>14.39423</v>
      </c>
    </row>
    <row r="12" spans="1:22" ht="18" customHeight="1">
      <c r="A12" s="3" t="s">
        <v>183</v>
      </c>
      <c r="B12" s="4">
        <v>0.0403</v>
      </c>
      <c r="C12" s="4">
        <v>0.6799903791915061</v>
      </c>
      <c r="D12" s="4">
        <v>-0.3215739203474615</v>
      </c>
      <c r="E12" s="4">
        <v>-0.05338361073481734</v>
      </c>
      <c r="F12" s="4">
        <v>-0.05359561888470876</v>
      </c>
      <c r="G12" s="4">
        <v>0.1533243354093154</v>
      </c>
      <c r="H12" s="15"/>
      <c r="I12" s="6">
        <v>294.7999877929688</v>
      </c>
      <c r="J12" s="7">
        <v>50.47945</v>
      </c>
      <c r="K12" s="7">
        <v>32.04435</v>
      </c>
      <c r="L12" s="4">
        <v>-0.04186835892513663</v>
      </c>
      <c r="M12" s="4">
        <v>0.39040002</v>
      </c>
      <c r="N12" s="4">
        <v>0.18370001</v>
      </c>
      <c r="O12" s="3" t="s">
        <v>183</v>
      </c>
      <c r="P12" s="5">
        <v>200</v>
      </c>
      <c r="Q12" s="5">
        <v>279.0625</v>
      </c>
      <c r="R12" s="5">
        <v>279</v>
      </c>
      <c r="S12" s="5">
        <v>340</v>
      </c>
      <c r="T12" s="7">
        <v>5.45</v>
      </c>
      <c r="U12" s="7">
        <v>7.67388</v>
      </c>
      <c r="V12" s="7">
        <v>8.86983</v>
      </c>
    </row>
    <row r="13" spans="1:22" ht="18" customHeight="1">
      <c r="A13" s="3" t="s">
        <v>90</v>
      </c>
      <c r="B13" s="4">
        <v>0.0339</v>
      </c>
      <c r="C13" s="4">
        <v>0.4550453063319149</v>
      </c>
      <c r="D13" s="4">
        <v>-0.2440625180229541</v>
      </c>
      <c r="E13" s="4">
        <v>-0.008828164524235294</v>
      </c>
      <c r="F13" s="4">
        <v>0.01241627050497218</v>
      </c>
      <c r="G13" s="4">
        <v>0.133906222965569</v>
      </c>
      <c r="H13" s="15"/>
      <c r="I13" s="6">
        <v>1852.005004882812</v>
      </c>
      <c r="J13" s="7">
        <v>52.420177</v>
      </c>
      <c r="K13" s="7">
        <v>37.25876</v>
      </c>
      <c r="L13" s="4">
        <v>0.9249564605495981</v>
      </c>
      <c r="M13" s="4">
        <v>0.11399999</v>
      </c>
      <c r="N13" s="4">
        <v>0.34080002</v>
      </c>
      <c r="O13" s="3" t="s">
        <v>90</v>
      </c>
      <c r="P13" s="5">
        <v>1400</v>
      </c>
      <c r="Q13" s="5">
        <v>1835.6552</v>
      </c>
      <c r="R13" s="5">
        <v>1875</v>
      </c>
      <c r="S13" s="5">
        <v>2100</v>
      </c>
      <c r="T13" s="7">
        <v>20.28</v>
      </c>
      <c r="U13" s="7">
        <v>37.0733</v>
      </c>
      <c r="V13" s="7">
        <v>49.70657</v>
      </c>
    </row>
    <row r="14" spans="1:22" ht="18" customHeight="1">
      <c r="A14" s="3" t="s">
        <v>180</v>
      </c>
      <c r="B14" s="4">
        <v>0.0333</v>
      </c>
      <c r="C14" s="4">
        <v>0.3727010139118132</v>
      </c>
      <c r="D14" s="4">
        <v>-0.5761544449328027</v>
      </c>
      <c r="E14" s="4">
        <v>-0.2589538991281727</v>
      </c>
      <c r="F14" s="4">
        <v>-0.3218471118924844</v>
      </c>
      <c r="G14" s="4">
        <v>0.2715366652015918</v>
      </c>
      <c r="H14" s="15"/>
      <c r="I14" s="6">
        <v>235.9349975585938</v>
      </c>
      <c r="J14" s="7">
        <v>25.396664</v>
      </c>
      <c r="K14" s="7">
        <v>22.183828</v>
      </c>
      <c r="L14" s="4">
        <v>0.1382382149564476</v>
      </c>
      <c r="M14" s="4">
        <v>-0.1062</v>
      </c>
      <c r="N14" s="4">
        <v>-0.0109</v>
      </c>
      <c r="O14" s="3" t="s">
        <v>180</v>
      </c>
      <c r="P14" s="5">
        <v>100</v>
      </c>
      <c r="Q14" s="5">
        <v>174.83871</v>
      </c>
      <c r="R14" s="5">
        <v>160</v>
      </c>
      <c r="S14" s="5">
        <v>300</v>
      </c>
      <c r="T14" s="7">
        <v>5.01</v>
      </c>
      <c r="U14" s="7">
        <v>10.75261</v>
      </c>
      <c r="V14" s="7">
        <v>10.63545</v>
      </c>
    </row>
    <row r="15" spans="1:22" ht="18" customHeight="1">
      <c r="A15" s="3" t="s">
        <v>100</v>
      </c>
      <c r="B15" s="4">
        <v>0.0312</v>
      </c>
      <c r="C15" s="4">
        <v>0.5318692396281155</v>
      </c>
      <c r="D15" s="4">
        <v>-0.2943005698050416</v>
      </c>
      <c r="E15" s="4">
        <v>-0.05654660425002689</v>
      </c>
      <c r="F15" s="4">
        <v>-0.04311941668480213</v>
      </c>
      <c r="G15" s="4">
        <v>0.1362956926867975</v>
      </c>
      <c r="H15" s="15"/>
      <c r="I15" s="6">
        <v>418.0249938964844</v>
      </c>
      <c r="J15" s="7">
        <v>76.561356</v>
      </c>
      <c r="K15" s="7">
        <v>31.788128</v>
      </c>
      <c r="L15" s="4">
        <v>0.3043408740641875</v>
      </c>
      <c r="M15" s="4">
        <v>0.4721</v>
      </c>
      <c r="N15" s="4">
        <v>0.1467</v>
      </c>
      <c r="O15" s="3" t="s">
        <v>100</v>
      </c>
      <c r="P15" s="5">
        <v>295</v>
      </c>
      <c r="Q15" s="5">
        <v>394.3871</v>
      </c>
      <c r="R15" s="5">
        <v>400</v>
      </c>
      <c r="S15" s="5">
        <v>475</v>
      </c>
      <c r="T15" s="7">
        <v>4.56</v>
      </c>
      <c r="U15" s="7">
        <v>11.46783</v>
      </c>
      <c r="V15" s="7">
        <v>13.15035</v>
      </c>
    </row>
    <row r="16" spans="1:22" ht="18" customHeight="1">
      <c r="A16" s="3" t="s">
        <v>182</v>
      </c>
      <c r="B16" s="4">
        <v>0.0194</v>
      </c>
      <c r="C16" s="4">
        <v>0.9063398438795158</v>
      </c>
      <c r="D16" s="4">
        <v>-0.5005875351111287</v>
      </c>
      <c r="E16" s="4">
        <v>-0.2345257207048055</v>
      </c>
      <c r="F16" s="4">
        <v>-0.2575497516699274</v>
      </c>
      <c r="G16" s="4">
        <v>0.1457109488627046</v>
      </c>
      <c r="H16" s="15"/>
      <c r="I16" s="6">
        <v>170.1999969482422</v>
      </c>
      <c r="J16" s="7">
        <v>55.620914</v>
      </c>
      <c r="K16" s="7">
        <v>31.31595</v>
      </c>
      <c r="L16" s="4">
        <v>-0.249332238329024</v>
      </c>
      <c r="M16" s="4">
        <v>0.34919998</v>
      </c>
      <c r="N16" s="4">
        <v>0.4184</v>
      </c>
      <c r="O16" s="3" t="s">
        <v>182</v>
      </c>
      <c r="P16" s="5">
        <v>85</v>
      </c>
      <c r="Q16" s="5">
        <v>130.28372</v>
      </c>
      <c r="R16" s="5">
        <v>126.36503</v>
      </c>
      <c r="S16" s="5">
        <v>195</v>
      </c>
      <c r="T16" s="7">
        <v>3.07</v>
      </c>
      <c r="U16" s="7">
        <v>3.8317</v>
      </c>
      <c r="V16" s="7">
        <v>5.43493</v>
      </c>
    </row>
    <row r="17" spans="1:22" ht="18" customHeight="1">
      <c r="A17" s="3" t="s">
        <v>197</v>
      </c>
      <c r="B17" s="4">
        <v>0.0156</v>
      </c>
      <c r="C17" s="4">
        <v>0.07114599975619984</v>
      </c>
      <c r="D17" s="4">
        <v>-0.2152156642833777</v>
      </c>
      <c r="E17" s="4">
        <v>0.03895865791916364</v>
      </c>
      <c r="F17" s="4">
        <v>0.04935877500798824</v>
      </c>
      <c r="G17" s="4">
        <v>0.2631170439910968</v>
      </c>
      <c r="H17" s="15"/>
      <c r="I17" s="6">
        <v>514.5999755859375</v>
      </c>
      <c r="J17" s="7">
        <v>79.04761499999999</v>
      </c>
      <c r="K17" s="7">
        <v>30.182753</v>
      </c>
      <c r="L17" s="4">
        <v>-0.02699119374271752</v>
      </c>
      <c r="M17" s="4">
        <v>0.1195</v>
      </c>
      <c r="N17" s="4">
        <v>0.17959999</v>
      </c>
      <c r="O17" s="3" t="s">
        <v>197</v>
      </c>
      <c r="P17" s="5">
        <v>403.85</v>
      </c>
      <c r="Q17" s="5">
        <v>534.6481</v>
      </c>
      <c r="R17" s="5">
        <v>540</v>
      </c>
      <c r="S17" s="5">
        <v>650</v>
      </c>
      <c r="T17" s="7">
        <v>8.039999999999999</v>
      </c>
      <c r="U17" s="7">
        <v>14.45319</v>
      </c>
      <c r="V17" s="7">
        <v>17.04947</v>
      </c>
    </row>
    <row r="18" spans="1:22" ht="18" customHeight="1">
      <c r="A18" s="3" t="s">
        <v>198</v>
      </c>
      <c r="B18" s="4">
        <v>0.0152</v>
      </c>
      <c r="C18" s="4">
        <v>0.1706669044625766</v>
      </c>
      <c r="D18" s="4">
        <v>-0.2432060543515652</v>
      </c>
      <c r="E18" s="4">
        <v>0.0445058135534917</v>
      </c>
      <c r="F18" s="4">
        <v>0.06639146886824898</v>
      </c>
      <c r="G18" s="4">
        <v>0.1695906432748537</v>
      </c>
      <c r="H18" s="15"/>
      <c r="I18" s="6">
        <v>363.375</v>
      </c>
      <c r="J18" s="7">
        <v>84.900696</v>
      </c>
      <c r="K18" s="7">
        <v>38.73653</v>
      </c>
      <c r="L18" s="4">
        <v>0.05012424486526834</v>
      </c>
      <c r="M18" s="4">
        <v>0.11399999</v>
      </c>
      <c r="N18" s="4">
        <v>0.17940001</v>
      </c>
      <c r="O18" s="3" t="s">
        <v>198</v>
      </c>
      <c r="P18" s="5">
        <v>275</v>
      </c>
      <c r="Q18" s="5">
        <v>379.5473</v>
      </c>
      <c r="R18" s="5">
        <v>387.5</v>
      </c>
      <c r="S18" s="5">
        <v>425</v>
      </c>
      <c r="T18" s="7">
        <v>4.06</v>
      </c>
      <c r="U18" s="7">
        <v>4.49478</v>
      </c>
      <c r="V18" s="7">
        <v>9.38068</v>
      </c>
    </row>
    <row r="19" spans="1:22" ht="18" customHeight="1">
      <c r="A19" s="3" t="s">
        <v>184</v>
      </c>
      <c r="B19" s="4">
        <v>0.0089</v>
      </c>
      <c r="C19" s="4">
        <v>0.3690759242400361</v>
      </c>
      <c r="D19" s="4">
        <v>-0.3363969888365319</v>
      </c>
      <c r="E19" s="4">
        <v>-0.01454952842224977</v>
      </c>
      <c r="F19" s="4">
        <v>-0.00459548325479775</v>
      </c>
      <c r="G19" s="4">
        <v>0.1447151942569824</v>
      </c>
      <c r="H19" s="15"/>
      <c r="I19" s="6">
        <v>301.385009765625</v>
      </c>
      <c r="J19" s="7">
        <v>28.813099</v>
      </c>
      <c r="K19" s="7">
        <v>17.10703</v>
      </c>
      <c r="L19" s="4">
        <v>0.07239398214187198</v>
      </c>
      <c r="M19" s="4">
        <v>0.2494</v>
      </c>
      <c r="N19" s="4">
        <v>0.19389999</v>
      </c>
      <c r="O19" s="3" t="s">
        <v>184</v>
      </c>
      <c r="P19" s="5">
        <v>200</v>
      </c>
      <c r="Q19" s="5">
        <v>297</v>
      </c>
      <c r="R19" s="5">
        <v>300</v>
      </c>
      <c r="S19" s="5">
        <v>345</v>
      </c>
      <c r="T19" s="7">
        <v>7.95</v>
      </c>
      <c r="U19" s="7">
        <v>14.7559</v>
      </c>
      <c r="V19" s="7">
        <v>17.61761</v>
      </c>
    </row>
    <row r="20" spans="1:22" ht="18" customHeight="1">
      <c r="A20" s="3" t="s">
        <v>123</v>
      </c>
      <c r="B20" s="4">
        <v>0.008699999999999999</v>
      </c>
      <c r="C20" s="4">
        <v>0.7636197873087822</v>
      </c>
      <c r="D20" s="4">
        <v>-0.08980582524271841</v>
      </c>
      <c r="E20" s="4">
        <v>0.09049927184466022</v>
      </c>
      <c r="F20" s="4">
        <v>0.09981796116504849</v>
      </c>
      <c r="G20" s="4">
        <v>0.2135922330097086</v>
      </c>
      <c r="H20" s="15"/>
      <c r="I20" s="6">
        <v>1648</v>
      </c>
      <c r="J20" s="7">
        <v>118.30581</v>
      </c>
      <c r="K20" s="7">
        <v>54.64398</v>
      </c>
      <c r="L20" s="4">
        <v>0.5379547680506784</v>
      </c>
      <c r="M20" s="4">
        <v>0.3518</v>
      </c>
      <c r="N20" s="4">
        <v>0.2555</v>
      </c>
      <c r="O20" s="3" t="s">
        <v>123</v>
      </c>
      <c r="P20" s="5">
        <v>1500</v>
      </c>
      <c r="Q20" s="5">
        <v>1797.1428</v>
      </c>
      <c r="R20" s="5">
        <v>1812.5</v>
      </c>
      <c r="S20" s="5">
        <v>2000</v>
      </c>
      <c r="T20" s="7">
        <v>12.86</v>
      </c>
      <c r="U20" s="7">
        <v>24.02205</v>
      </c>
      <c r="V20" s="7">
        <v>30.15886</v>
      </c>
    </row>
    <row r="21" spans="1:22" ht="18" customHeight="1">
      <c r="A21" s="3" t="s">
        <v>128</v>
      </c>
      <c r="B21" s="4">
        <v>0.008199999999999999</v>
      </c>
      <c r="C21" s="4">
        <v>0.7655769849261236</v>
      </c>
      <c r="D21" s="4">
        <v>-0.2629193803076267</v>
      </c>
      <c r="E21" s="4">
        <v>0.008788792178382465</v>
      </c>
      <c r="F21" s="4">
        <v>0.05648222155906835</v>
      </c>
      <c r="G21" s="4">
        <v>0.2830662639089461</v>
      </c>
      <c r="H21" s="15"/>
      <c r="I21" s="6">
        <v>366.3099975585938</v>
      </c>
      <c r="J21" s="7">
        <v>67.83517999999999</v>
      </c>
      <c r="K21" s="7">
        <v>38.505363</v>
      </c>
      <c r="L21" s="4">
        <v>0.5360536956622735</v>
      </c>
      <c r="M21" s="4">
        <v>0.8128</v>
      </c>
      <c r="N21" s="4">
        <v>0.3252</v>
      </c>
      <c r="O21" s="3" t="s">
        <v>128</v>
      </c>
      <c r="P21" s="5">
        <v>270</v>
      </c>
      <c r="Q21" s="5">
        <v>369.52942</v>
      </c>
      <c r="R21" s="5">
        <v>387</v>
      </c>
      <c r="S21" s="5">
        <v>470</v>
      </c>
      <c r="T21" s="7">
        <v>3.47</v>
      </c>
      <c r="U21" s="7">
        <v>7.17873</v>
      </c>
      <c r="V21" s="7">
        <v>9.51322</v>
      </c>
    </row>
    <row r="22" spans="1:22" ht="18" customHeight="1">
      <c r="A22" s="3" t="s">
        <v>194</v>
      </c>
      <c r="B22" s="4">
        <v>0.0074</v>
      </c>
      <c r="C22" s="4">
        <v>1.174797474954698</v>
      </c>
      <c r="D22" s="4">
        <v>-0.4473928017359363</v>
      </c>
      <c r="E22" s="4">
        <v>-0.09250626879929813</v>
      </c>
      <c r="F22" s="4">
        <v>-0.09864374673392051</v>
      </c>
      <c r="G22" s="4">
        <v>0.5163002391391991</v>
      </c>
      <c r="H22" s="15"/>
      <c r="I22" s="6">
        <v>59.35499954223633</v>
      </c>
      <c r="J22" s="7">
        <v>370.96875</v>
      </c>
      <c r="K22" s="7">
        <v>26.616592</v>
      </c>
      <c r="L22" s="4">
        <v>0.08186108855023955</v>
      </c>
      <c r="M22" s="4">
        <v>1.2887</v>
      </c>
      <c r="N22" s="4">
        <v>0.83839995</v>
      </c>
      <c r="O22" s="3" t="s">
        <v>194</v>
      </c>
      <c r="P22" s="5">
        <v>32.8</v>
      </c>
      <c r="Q22" s="5">
        <v>53.86429</v>
      </c>
      <c r="R22" s="5">
        <v>53.5</v>
      </c>
      <c r="S22" s="5">
        <v>90</v>
      </c>
      <c r="T22" s="7">
        <v>0.18</v>
      </c>
      <c r="U22" s="7">
        <v>1.08</v>
      </c>
      <c r="V22" s="7">
        <v>2.23</v>
      </c>
    </row>
    <row r="23" spans="1:22" ht="18" customHeight="1">
      <c r="A23" s="3" t="s">
        <v>185</v>
      </c>
      <c r="B23" s="4">
        <v>0.0073</v>
      </c>
      <c r="C23" s="4">
        <v>0.5007113760453203</v>
      </c>
      <c r="D23" s="4">
        <v>-0.2269634859304036</v>
      </c>
      <c r="E23" s="4">
        <v>0.1589363418931389</v>
      </c>
      <c r="F23" s="4">
        <v>0.2368584225113541</v>
      </c>
      <c r="G23" s="4">
        <v>0.3914657253252736</v>
      </c>
      <c r="H23" s="15"/>
      <c r="I23" s="6">
        <v>97.01999664306641</v>
      </c>
      <c r="J23" s="7">
        <v>441</v>
      </c>
      <c r="K23" s="7">
        <v>23.745192</v>
      </c>
      <c r="L23" s="4">
        <v>0.1556102917689925</v>
      </c>
      <c r="M23" s="4">
        <v>0.92660004</v>
      </c>
      <c r="N23" s="4">
        <v>0.2932</v>
      </c>
      <c r="O23" s="3" t="s">
        <v>185</v>
      </c>
      <c r="P23" s="5">
        <v>75</v>
      </c>
      <c r="Q23" s="5">
        <v>112.44</v>
      </c>
      <c r="R23" s="5">
        <v>120</v>
      </c>
      <c r="S23" s="5">
        <v>135</v>
      </c>
      <c r="T23" s="7">
        <v>-0.01</v>
      </c>
      <c r="U23" s="7">
        <v>3.15956</v>
      </c>
      <c r="V23" s="7">
        <v>4.08588</v>
      </c>
    </row>
    <row r="24" spans="1:22" ht="18" customHeight="1">
      <c r="A24" s="3" t="s">
        <v>186</v>
      </c>
      <c r="B24" s="4">
        <v>0.0048</v>
      </c>
      <c r="C24" s="4">
        <v>0.8726772480222611</v>
      </c>
      <c r="D24" s="4">
        <v>-0.3595829085032833</v>
      </c>
      <c r="E24" s="4">
        <v>-0.02573460885385348</v>
      </c>
      <c r="F24" s="4">
        <v>-0.04879226115928847</v>
      </c>
      <c r="G24" s="4">
        <v>0.1772373005454351</v>
      </c>
      <c r="H24" s="15"/>
      <c r="I24" s="6">
        <v>106.1808013916016</v>
      </c>
      <c r="J24" s="7">
        <v>78.07411999999999</v>
      </c>
      <c r="K24" s="7">
        <v>24.8941</v>
      </c>
      <c r="L24" s="4">
        <v>-0.1225084697902059</v>
      </c>
      <c r="M24" s="4">
        <v>0.3147</v>
      </c>
      <c r="N24" s="4">
        <v>0.3805</v>
      </c>
      <c r="O24" s="3" t="s">
        <v>186</v>
      </c>
      <c r="P24" s="5">
        <v>68</v>
      </c>
      <c r="Q24" s="5">
        <v>103.44828</v>
      </c>
      <c r="R24" s="5">
        <v>101</v>
      </c>
      <c r="S24" s="5">
        <v>125</v>
      </c>
      <c r="T24" s="7">
        <v>0.29</v>
      </c>
      <c r="U24" s="7">
        <v>3.08965</v>
      </c>
      <c r="V24" s="7">
        <v>4.2653</v>
      </c>
    </row>
    <row r="25" spans="1:22" ht="18" customHeight="1">
      <c r="A25" s="3" t="s">
        <v>188</v>
      </c>
      <c r="B25" s="4">
        <v>0.0039</v>
      </c>
      <c r="C25" s="4">
        <v>0.1459400879224422</v>
      </c>
      <c r="D25" s="4">
        <v>-0.2548572378451193</v>
      </c>
      <c r="E25" s="4">
        <v>0.1786005429463742</v>
      </c>
      <c r="F25" s="4">
        <v>0.2514276031580238</v>
      </c>
      <c r="G25" s="4">
        <v>0.4433941675259538</v>
      </c>
      <c r="H25" s="15"/>
      <c r="I25" s="6">
        <v>205.7649993896484</v>
      </c>
      <c r="J25" s="7">
        <v>139.03041</v>
      </c>
      <c r="K25" s="7">
        <v>49.26733</v>
      </c>
      <c r="L25" s="4">
        <v>0.2356829427077429</v>
      </c>
      <c r="M25" s="4">
        <v>0.6308</v>
      </c>
      <c r="N25" s="4">
        <v>0.39189997</v>
      </c>
      <c r="O25" s="3" t="s">
        <v>188</v>
      </c>
      <c r="P25" s="5">
        <v>153.3243</v>
      </c>
      <c r="Q25" s="5">
        <v>242.51474</v>
      </c>
      <c r="R25" s="5">
        <v>257.5</v>
      </c>
      <c r="S25" s="5">
        <v>297</v>
      </c>
      <c r="T25" s="7">
        <v>1.22</v>
      </c>
      <c r="U25" s="7">
        <v>3.00062</v>
      </c>
      <c r="V25" s="7">
        <v>4.1765</v>
      </c>
    </row>
    <row r="26" spans="1:22" ht="18" customHeight="1">
      <c r="A26" s="3" t="s">
        <v>190</v>
      </c>
      <c r="B26" s="4">
        <v>0.0029</v>
      </c>
      <c r="C26" s="4">
        <v>0.6662232727623303</v>
      </c>
      <c r="D26" s="4">
        <v>-0.2281879194630873</v>
      </c>
      <c r="E26" s="4">
        <v>0.07449664429530189</v>
      </c>
      <c r="F26" s="4">
        <v>0.09060402684563762</v>
      </c>
      <c r="G26" s="4">
        <v>0.3758389261744965</v>
      </c>
      <c r="H26" s="15"/>
      <c r="I26" s="6">
        <v>149</v>
      </c>
      <c r="J26" s="7">
        <v>86.12717000000001</v>
      </c>
      <c r="K26" s="7">
        <v>32.355007</v>
      </c>
      <c r="L26" s="4">
        <v>-0.1296178574983642</v>
      </c>
      <c r="M26" s="4">
        <v>0.32169998</v>
      </c>
      <c r="N26" s="4">
        <v>0.26700002</v>
      </c>
      <c r="O26" s="3" t="s">
        <v>190</v>
      </c>
      <c r="P26" s="5">
        <v>115</v>
      </c>
      <c r="Q26" s="5">
        <v>160.1</v>
      </c>
      <c r="R26" s="5">
        <v>162.5</v>
      </c>
      <c r="S26" s="5">
        <v>205</v>
      </c>
      <c r="T26" s="7">
        <v>1.55</v>
      </c>
      <c r="U26" s="7">
        <v>3.6348</v>
      </c>
      <c r="V26" s="7">
        <v>4.60516</v>
      </c>
    </row>
    <row r="27" spans="1:22" ht="18" customHeight="1">
      <c r="A27" s="3" t="s">
        <v>196</v>
      </c>
      <c r="B27" s="4">
        <v>0.0013</v>
      </c>
      <c r="C27" s="4">
        <v>0.08462094210807991</v>
      </c>
      <c r="D27" s="4">
        <v>-0.2031294889156565</v>
      </c>
      <c r="E27" s="4">
        <v>0.07444064918611848</v>
      </c>
      <c r="F27" s="4">
        <v>0.04317594178314055</v>
      </c>
      <c r="G27" s="4">
        <v>0.5357868031807347</v>
      </c>
      <c r="H27" s="15"/>
      <c r="I27" s="6">
        <v>69.01999664306641</v>
      </c>
      <c r="J27" s="7">
        <v>28.758331</v>
      </c>
      <c r="K27" s="7">
        <v>13.412385</v>
      </c>
      <c r="L27" s="4">
        <v>-0.2529396653723179</v>
      </c>
      <c r="M27" s="4">
        <v>-0.155</v>
      </c>
      <c r="N27" s="4">
        <v>0.027</v>
      </c>
      <c r="O27" s="3" t="s">
        <v>196</v>
      </c>
      <c r="P27" s="5">
        <v>55</v>
      </c>
      <c r="Q27" s="5">
        <v>74.15788999999999</v>
      </c>
      <c r="R27" s="5">
        <v>72</v>
      </c>
      <c r="S27" s="5">
        <v>106</v>
      </c>
      <c r="T27" s="7">
        <v>3.08</v>
      </c>
      <c r="U27" s="7">
        <v>5.01067</v>
      </c>
      <c r="V27" s="7">
        <v>5.14599</v>
      </c>
    </row>
    <row r="30" spans="1:22" ht="18" customHeight="1">
      <c r="A30" s="16" t="s">
        <v>171</v>
      </c>
      <c r="B30" s="17">
        <f>SUM(B3:B27)</f>
        <v>0</v>
      </c>
      <c r="C30" s="17">
        <f>SUMPRODUCT(B3:B27,C3:C27)</f>
        <v>0</v>
      </c>
      <c r="D30" s="17">
        <f>SUMPRODUCT(B3:B27,D3:D27)</f>
        <v>0</v>
      </c>
      <c r="E30" s="17">
        <f>SUMPRODUCT(B3:B27,E3:E27)</f>
        <v>0</v>
      </c>
      <c r="F30" s="17">
        <f>SUMPRODUCT(B3:B27,F3:F27)</f>
        <v>0</v>
      </c>
      <c r="G30" s="17">
        <f>SUMPRODUCT(B3:B27,G3:G27)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27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27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7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19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72</v>
      </c>
      <c r="B3" s="4">
        <v>0.1449121</v>
      </c>
      <c r="C3" s="4">
        <v>0.169827673418228</v>
      </c>
      <c r="D3" s="4">
        <v>-0.3662577625314988</v>
      </c>
      <c r="E3" s="4">
        <v>0.2184393442485257</v>
      </c>
      <c r="F3" s="4">
        <v>0.1995835209225203</v>
      </c>
      <c r="G3" s="4">
        <v>0.7201575017002178</v>
      </c>
      <c r="H3" s="15"/>
      <c r="I3" s="6">
        <v>220.9100036621094</v>
      </c>
      <c r="J3" s="7">
        <v>44.991856</v>
      </c>
      <c r="K3" s="7">
        <v>19.573948</v>
      </c>
      <c r="L3" s="4">
        <v>0.3487889617799445</v>
      </c>
      <c r="M3" s="4">
        <v>0.7486</v>
      </c>
      <c r="N3" s="4">
        <v>0.3531</v>
      </c>
      <c r="O3" s="3" t="s">
        <v>72</v>
      </c>
      <c r="P3" s="5">
        <v>140</v>
      </c>
      <c r="Q3" s="5">
        <v>269.16544</v>
      </c>
      <c r="R3" s="5">
        <v>265</v>
      </c>
      <c r="S3" s="5">
        <v>380</v>
      </c>
      <c r="T3" s="7">
        <v>4.9</v>
      </c>
      <c r="U3" s="7">
        <v>8.34076</v>
      </c>
      <c r="V3" s="7">
        <v>11.28592</v>
      </c>
    </row>
    <row r="4" spans="1:22" ht="18" customHeight="1">
      <c r="A4" s="3" t="s">
        <v>173</v>
      </c>
      <c r="B4" s="4">
        <v>0.11922234</v>
      </c>
      <c r="C4" s="4">
        <v>0.07724043112867518</v>
      </c>
      <c r="D4" s="4">
        <v>-0.262789777804752</v>
      </c>
      <c r="E4" s="4">
        <v>0.04677316097383333</v>
      </c>
      <c r="F4" s="4">
        <v>0.06295427386291585</v>
      </c>
      <c r="G4" s="4">
        <v>0.3715539017586009</v>
      </c>
      <c r="H4" s="15"/>
      <c r="I4" s="6">
        <v>291.6400146484375</v>
      </c>
      <c r="J4" s="7">
        <v>35.266018</v>
      </c>
      <c r="K4" s="7">
        <v>30.508184</v>
      </c>
      <c r="L4" s="4">
        <v>0.1199078603174795</v>
      </c>
      <c r="M4" s="4">
        <v>0.1693</v>
      </c>
      <c r="N4" s="4">
        <v>0.0959</v>
      </c>
      <c r="O4" s="3" t="s">
        <v>173</v>
      </c>
      <c r="P4" s="5">
        <v>215</v>
      </c>
      <c r="Q4" s="5">
        <v>305.28094</v>
      </c>
      <c r="R4" s="5">
        <v>310</v>
      </c>
      <c r="S4" s="5">
        <v>400</v>
      </c>
      <c r="T4" s="7">
        <v>7.46</v>
      </c>
      <c r="U4" s="7">
        <v>8.72795</v>
      </c>
      <c r="V4" s="7">
        <v>9.606960000000001</v>
      </c>
    </row>
    <row r="5" spans="1:22" ht="18" customHeight="1">
      <c r="A5" s="3" t="s">
        <v>175</v>
      </c>
      <c r="B5" s="4">
        <v>0.0854207</v>
      </c>
      <c r="C5" s="4">
        <v>-0.1291964232068967</v>
      </c>
      <c r="D5" s="4">
        <v>-0.02652712109611355</v>
      </c>
      <c r="E5" s="4">
        <v>0.3666490833325968</v>
      </c>
      <c r="F5" s="4">
        <v>0.3689462359585902</v>
      </c>
      <c r="G5" s="4">
        <v>1.117303511615953</v>
      </c>
      <c r="H5" s="15"/>
      <c r="I5" s="6">
        <v>410.8999938964844</v>
      </c>
      <c r="J5" s="7">
        <v>24.502087</v>
      </c>
      <c r="K5" s="7">
        <v>21.230162</v>
      </c>
      <c r="L5" s="4">
        <v>0.163905583263027</v>
      </c>
      <c r="M5" s="4">
        <v>0.2354</v>
      </c>
      <c r="N5" s="4">
        <v>0.1486</v>
      </c>
      <c r="O5" s="3" t="s">
        <v>175</v>
      </c>
      <c r="P5" s="5">
        <v>400</v>
      </c>
      <c r="Q5" s="5">
        <v>561.5561</v>
      </c>
      <c r="R5" s="5">
        <v>562.5</v>
      </c>
      <c r="S5" s="5">
        <v>870</v>
      </c>
      <c r="T5" s="7">
        <v>13.64</v>
      </c>
      <c r="U5" s="7">
        <v>16.85079</v>
      </c>
      <c r="V5" s="7">
        <v>19.35454</v>
      </c>
    </row>
    <row r="6" spans="1:22" ht="18" customHeight="1">
      <c r="A6" s="3" t="s">
        <v>73</v>
      </c>
      <c r="B6" s="4">
        <v>0.05673151</v>
      </c>
      <c r="C6" s="4">
        <v>1.566656822835134</v>
      </c>
      <c r="D6" s="4">
        <v>-0.6923153039275727</v>
      </c>
      <c r="E6" s="4">
        <v>-0.2908364499497702</v>
      </c>
      <c r="F6" s="4">
        <v>-0.3203751693179315</v>
      </c>
      <c r="G6" s="4">
        <v>0.2356815103310335</v>
      </c>
      <c r="H6" s="15"/>
      <c r="I6" s="6">
        <v>809.27001953125</v>
      </c>
      <c r="J6" s="7">
        <v>38.155117</v>
      </c>
      <c r="K6" s="7">
        <v>7.9510055</v>
      </c>
      <c r="L6" s="4">
        <v>2.27888901203893</v>
      </c>
      <c r="M6" s="4">
        <v>0.060095</v>
      </c>
      <c r="N6" s="4">
        <v>0.7516</v>
      </c>
      <c r="O6" s="3" t="s">
        <v>73</v>
      </c>
      <c r="P6" s="5">
        <v>249</v>
      </c>
      <c r="Q6" s="5">
        <v>573.9048</v>
      </c>
      <c r="R6" s="5">
        <v>550</v>
      </c>
      <c r="S6" s="5">
        <v>1000</v>
      </c>
      <c r="T6" s="7">
        <v>7.59</v>
      </c>
      <c r="U6" s="7">
        <v>58.10855</v>
      </c>
      <c r="V6" s="7">
        <v>101.7821</v>
      </c>
    </row>
    <row r="7" spans="1:22" ht="18" customHeight="1">
      <c r="A7" s="3" t="s">
        <v>74</v>
      </c>
      <c r="B7" s="4">
        <v>0.05649629</v>
      </c>
      <c r="C7" s="4">
        <v>0.2367526887339428</v>
      </c>
      <c r="D7" s="4">
        <v>-0.1608782592446348</v>
      </c>
      <c r="E7" s="4">
        <v>0.1083235331136219</v>
      </c>
      <c r="F7" s="4">
        <v>0.1130017533630192</v>
      </c>
      <c r="G7" s="4">
        <v>0.4684630463218891</v>
      </c>
      <c r="H7" s="15"/>
      <c r="I7" s="6">
        <v>429.0199890136719</v>
      </c>
      <c r="J7" s="7">
        <v>83.79297</v>
      </c>
      <c r="K7" s="7">
        <v>23.679277</v>
      </c>
      <c r="L7" s="4">
        <v>0.5054207913071003</v>
      </c>
      <c r="M7" s="4">
        <v>0.6753</v>
      </c>
      <c r="N7" s="4">
        <v>0.5857</v>
      </c>
      <c r="O7" s="3" t="s">
        <v>74</v>
      </c>
      <c r="P7" s="5">
        <v>360</v>
      </c>
      <c r="Q7" s="5">
        <v>475.49295</v>
      </c>
      <c r="R7" s="5">
        <v>477.5</v>
      </c>
      <c r="S7" s="5">
        <v>630</v>
      </c>
      <c r="T7" s="7">
        <v>4.77</v>
      </c>
      <c r="U7" s="7">
        <v>11.42564</v>
      </c>
      <c r="V7" s="7">
        <v>18.11795</v>
      </c>
    </row>
    <row r="8" spans="1:22" ht="18" customHeight="1">
      <c r="A8" s="3" t="s">
        <v>76</v>
      </c>
      <c r="B8" s="4">
        <v>0.05009019999999999</v>
      </c>
      <c r="C8" s="4">
        <v>1.077728531893785</v>
      </c>
      <c r="D8" s="4">
        <v>-0.5154099606231157</v>
      </c>
      <c r="E8" s="4">
        <v>-0.04154370498162607</v>
      </c>
      <c r="F8" s="4">
        <v>-0.02005125370452288</v>
      </c>
      <c r="G8" s="4">
        <v>0.3460834427135675</v>
      </c>
      <c r="H8" s="15"/>
      <c r="I8" s="6">
        <v>464.3099975585938</v>
      </c>
      <c r="J8" s="7">
        <v>154.77</v>
      </c>
      <c r="K8" s="7">
        <v>35.986244</v>
      </c>
      <c r="L8" s="4">
        <v>0.7753461704239681</v>
      </c>
      <c r="M8" s="4">
        <v>0.7586000000000001</v>
      </c>
      <c r="N8" s="4">
        <v>0.7594</v>
      </c>
      <c r="O8" s="3" t="s">
        <v>76</v>
      </c>
      <c r="P8" s="5">
        <v>225</v>
      </c>
      <c r="Q8" s="5">
        <v>445.02084</v>
      </c>
      <c r="R8" s="5">
        <v>455</v>
      </c>
      <c r="S8" s="5">
        <v>625</v>
      </c>
      <c r="T8" s="7">
        <v>2.65</v>
      </c>
      <c r="U8" s="7">
        <v>7.3335</v>
      </c>
      <c r="V8" s="7">
        <v>12.90243</v>
      </c>
    </row>
    <row r="9" spans="1:22" ht="18" customHeight="1">
      <c r="A9" s="3" t="s">
        <v>78</v>
      </c>
      <c r="B9" s="4">
        <v>0.03958762</v>
      </c>
      <c r="C9" s="4">
        <v>2.256348327379286</v>
      </c>
      <c r="D9" s="4">
        <v>-0.840917067080723</v>
      </c>
      <c r="E9" s="4">
        <v>-0.3558700853366531</v>
      </c>
      <c r="F9" s="4">
        <v>-0.364448086621516</v>
      </c>
      <c r="G9" s="4">
        <v>-0.07981440762379</v>
      </c>
      <c r="H9" s="15"/>
      <c r="I9" s="6">
        <v>128.2350006103516</v>
      </c>
      <c r="J9" s="9" t="s">
        <v>79</v>
      </c>
      <c r="K9" s="7">
        <v>83.801506</v>
      </c>
      <c r="L9" s="4">
        <v>0.8249259534597484</v>
      </c>
      <c r="M9" s="4">
        <v>0.015855</v>
      </c>
      <c r="N9" s="4">
        <v>0.4129</v>
      </c>
      <c r="O9" s="3" t="s">
        <v>78</v>
      </c>
      <c r="P9" s="5">
        <v>20.4</v>
      </c>
      <c r="Q9" s="5">
        <v>82.59999999999999</v>
      </c>
      <c r="R9" s="5">
        <v>81.5</v>
      </c>
      <c r="S9" s="5">
        <v>118</v>
      </c>
      <c r="T9" s="7">
        <v>-0.06</v>
      </c>
      <c r="U9" s="7">
        <v>1.08591</v>
      </c>
      <c r="V9" s="7">
        <v>1.53433</v>
      </c>
    </row>
    <row r="10" spans="1:22" ht="18" customHeight="1">
      <c r="A10" s="3" t="s">
        <v>85</v>
      </c>
      <c r="B10" s="4">
        <v>0.0257528</v>
      </c>
      <c r="C10" s="4">
        <v>0.2931344698880258</v>
      </c>
      <c r="D10" s="4">
        <v>-0.2331288582853271</v>
      </c>
      <c r="E10" s="4">
        <v>-0.08441158276231187</v>
      </c>
      <c r="F10" s="4">
        <v>-0.07975462994239257</v>
      </c>
      <c r="G10" s="4">
        <v>0.1247443411815201</v>
      </c>
      <c r="H10" s="15"/>
      <c r="I10" s="6">
        <v>97.80000305175781</v>
      </c>
      <c r="J10" s="7">
        <v>35.17986</v>
      </c>
      <c r="K10" s="7">
        <v>21.677551</v>
      </c>
      <c r="L10" s="4">
        <v>0.3369957025476586</v>
      </c>
      <c r="M10" s="4">
        <v>0.091800004</v>
      </c>
      <c r="N10" s="4">
        <v>0.08459999999999999</v>
      </c>
      <c r="O10" s="3" t="s">
        <v>85</v>
      </c>
      <c r="P10" s="5">
        <v>75</v>
      </c>
      <c r="Q10" s="5">
        <v>89.54455</v>
      </c>
      <c r="R10" s="5">
        <v>90</v>
      </c>
      <c r="S10" s="5">
        <v>110</v>
      </c>
      <c r="T10" s="7">
        <v>2.61</v>
      </c>
      <c r="U10" s="7">
        <v>4.15994</v>
      </c>
      <c r="V10" s="7">
        <v>4.51172</v>
      </c>
    </row>
    <row r="11" spans="1:22" ht="18" customHeight="1">
      <c r="A11" s="3" t="s">
        <v>77</v>
      </c>
      <c r="B11" s="4">
        <v>0.02478371</v>
      </c>
      <c r="C11" s="4">
        <v>0.6084848251701664</v>
      </c>
      <c r="D11" s="4">
        <v>-0.2600316107545544</v>
      </c>
      <c r="E11" s="4">
        <v>0.04425936749339532</v>
      </c>
      <c r="F11" s="4">
        <v>0.05950019369234272</v>
      </c>
      <c r="G11" s="4">
        <v>0.29494468117953</v>
      </c>
      <c r="H11" s="15"/>
      <c r="I11" s="6">
        <v>297.3099975585938</v>
      </c>
      <c r="J11" s="7">
        <v>56.202267</v>
      </c>
      <c r="K11" s="7">
        <v>37.572636</v>
      </c>
      <c r="L11" s="4">
        <v>1.384700031317069</v>
      </c>
      <c r="M11" s="4">
        <v>0.37080002</v>
      </c>
      <c r="N11" s="4">
        <v>0.3944</v>
      </c>
      <c r="O11" s="3" t="s">
        <v>77</v>
      </c>
      <c r="P11" s="5">
        <v>220</v>
      </c>
      <c r="Q11" s="5">
        <v>310.46875</v>
      </c>
      <c r="R11" s="5">
        <v>315</v>
      </c>
      <c r="S11" s="5">
        <v>385</v>
      </c>
      <c r="T11" s="7">
        <v>4.15</v>
      </c>
      <c r="U11" s="7">
        <v>5.675</v>
      </c>
      <c r="V11" s="7">
        <v>7.91294</v>
      </c>
    </row>
    <row r="12" spans="1:22" ht="18" customHeight="1">
      <c r="A12" s="3" t="s">
        <v>83</v>
      </c>
      <c r="B12" s="4">
        <v>0.02332711</v>
      </c>
      <c r="C12" s="4">
        <v>0.6586658935799634</v>
      </c>
      <c r="D12" s="4">
        <v>-0.3713657131679295</v>
      </c>
      <c r="E12" s="4">
        <v>-0.01353282057553884</v>
      </c>
      <c r="F12" s="4">
        <v>-0.0009205084276023845</v>
      </c>
      <c r="G12" s="4">
        <v>0.2348173491344241</v>
      </c>
      <c r="H12" s="15"/>
      <c r="I12" s="6">
        <v>445.4100036621094</v>
      </c>
      <c r="J12" s="7">
        <v>45.68308</v>
      </c>
      <c r="K12" s="7">
        <v>30.94365</v>
      </c>
      <c r="L12" s="4">
        <v>0.5839540115112469</v>
      </c>
      <c r="M12" s="4">
        <v>0.17959999</v>
      </c>
      <c r="N12" s="4">
        <v>0.2953</v>
      </c>
      <c r="O12" s="3" t="s">
        <v>83</v>
      </c>
      <c r="P12" s="5">
        <v>280</v>
      </c>
      <c r="Q12" s="5">
        <v>439.38235</v>
      </c>
      <c r="R12" s="5">
        <v>445</v>
      </c>
      <c r="S12" s="5">
        <v>550</v>
      </c>
      <c r="T12" s="7">
        <v>8.66</v>
      </c>
      <c r="U12" s="7">
        <v>11.11229</v>
      </c>
      <c r="V12" s="7">
        <v>14.39423</v>
      </c>
    </row>
    <row r="13" spans="1:22" ht="18" customHeight="1">
      <c r="A13" s="3" t="s">
        <v>199</v>
      </c>
      <c r="B13" s="4">
        <v>0.02242657</v>
      </c>
      <c r="C13" s="4">
        <v>-0.004395454745847016</v>
      </c>
      <c r="D13" s="4">
        <v>-0.1996269682773332</v>
      </c>
      <c r="E13" s="4">
        <v>0.2501416241598238</v>
      </c>
      <c r="F13" s="4">
        <v>0.1360133353483013</v>
      </c>
      <c r="G13" s="4">
        <v>1.065478791542366</v>
      </c>
      <c r="H13" s="15"/>
      <c r="I13" s="6">
        <v>193.6596984863281</v>
      </c>
      <c r="J13" s="7">
        <v>34.830883</v>
      </c>
      <c r="K13" s="7">
        <v>24.109488</v>
      </c>
      <c r="L13" s="4">
        <v>0.1856209280948347</v>
      </c>
      <c r="M13" s="4">
        <v>0.2359</v>
      </c>
      <c r="N13" s="4">
        <v>0.077800006</v>
      </c>
      <c r="O13" s="3" t="s">
        <v>199</v>
      </c>
      <c r="P13" s="5">
        <v>155</v>
      </c>
      <c r="Q13" s="5">
        <v>242.10205</v>
      </c>
      <c r="R13" s="5">
        <v>220</v>
      </c>
      <c r="S13" s="5">
        <v>400</v>
      </c>
      <c r="T13" s="7">
        <v>4.34</v>
      </c>
      <c r="U13" s="7">
        <v>7.45245</v>
      </c>
      <c r="V13" s="7">
        <v>8.03251</v>
      </c>
    </row>
    <row r="14" spans="1:22" ht="18" customHeight="1">
      <c r="A14" s="3" t="s">
        <v>93</v>
      </c>
      <c r="B14" s="4">
        <v>0.02124582</v>
      </c>
      <c r="C14" s="4">
        <v>-0.1886655722686735</v>
      </c>
      <c r="D14" s="4">
        <v>-0.4860144439675277</v>
      </c>
      <c r="E14" s="4">
        <v>0.3327400957650353</v>
      </c>
      <c r="F14" s="4">
        <v>0.3951036520881392</v>
      </c>
      <c r="G14" s="4">
        <v>0.8723759541182921</v>
      </c>
      <c r="H14" s="15"/>
      <c r="I14" s="6">
        <v>136.1905975341797</v>
      </c>
      <c r="J14" s="7">
        <v>151.32289</v>
      </c>
      <c r="K14" s="7">
        <v>66.150475</v>
      </c>
      <c r="L14" s="4">
        <v>1.364011094939334</v>
      </c>
      <c r="M14" s="4">
        <v>0.9482</v>
      </c>
      <c r="N14" s="4">
        <v>0.409</v>
      </c>
      <c r="O14" s="3" t="s">
        <v>93</v>
      </c>
      <c r="P14" s="5">
        <v>70</v>
      </c>
      <c r="Q14" s="5">
        <v>181.50667</v>
      </c>
      <c r="R14" s="5">
        <v>190</v>
      </c>
      <c r="S14" s="5">
        <v>255</v>
      </c>
      <c r="T14" s="7">
        <v>0.63</v>
      </c>
      <c r="U14" s="7">
        <v>1.46118</v>
      </c>
      <c r="V14" s="7">
        <v>2.0588</v>
      </c>
    </row>
    <row r="15" spans="1:22" ht="18" customHeight="1">
      <c r="A15" s="3" t="s">
        <v>183</v>
      </c>
      <c r="B15" s="4">
        <v>0.01762891</v>
      </c>
      <c r="C15" s="4">
        <v>0.6799903791915061</v>
      </c>
      <c r="D15" s="4">
        <v>-0.3215739203474615</v>
      </c>
      <c r="E15" s="4">
        <v>-0.05338361073481734</v>
      </c>
      <c r="F15" s="4">
        <v>-0.05359561888470876</v>
      </c>
      <c r="G15" s="4">
        <v>0.1533243354093154</v>
      </c>
      <c r="H15" s="15"/>
      <c r="I15" s="6">
        <v>294.7999877929688</v>
      </c>
      <c r="J15" s="7">
        <v>50.47945</v>
      </c>
      <c r="K15" s="7">
        <v>32.04435</v>
      </c>
      <c r="L15" s="4">
        <v>-0.04186844060642492</v>
      </c>
      <c r="M15" s="4">
        <v>0.39040002</v>
      </c>
      <c r="N15" s="4">
        <v>0.18370001</v>
      </c>
      <c r="O15" s="3" t="s">
        <v>183</v>
      </c>
      <c r="P15" s="5">
        <v>200</v>
      </c>
      <c r="Q15" s="5">
        <v>279.0625</v>
      </c>
      <c r="R15" s="5">
        <v>279</v>
      </c>
      <c r="S15" s="5">
        <v>340</v>
      </c>
      <c r="T15" s="7">
        <v>5.45</v>
      </c>
      <c r="U15" s="7">
        <v>7.67388</v>
      </c>
      <c r="V15" s="7">
        <v>8.86983</v>
      </c>
    </row>
    <row r="16" spans="1:22" ht="18" customHeight="1">
      <c r="A16" s="3" t="s">
        <v>90</v>
      </c>
      <c r="B16" s="4">
        <v>0.01653656</v>
      </c>
      <c r="C16" s="4">
        <v>0.4526686671956186</v>
      </c>
      <c r="D16" s="4">
        <v>-0.2428257662124202</v>
      </c>
      <c r="E16" s="4">
        <v>-0.007206557458438234</v>
      </c>
      <c r="F16" s="4">
        <v>0.0140726345369373</v>
      </c>
      <c r="G16" s="4">
        <v>0.1357613506813697</v>
      </c>
      <c r="H16" s="15"/>
      <c r="I16" s="6">
        <v>1848.97998046875</v>
      </c>
      <c r="J16" s="7">
        <v>52.334557</v>
      </c>
      <c r="K16" s="7">
        <v>37.1979</v>
      </c>
      <c r="L16" s="4">
        <v>0.9249564605495981</v>
      </c>
      <c r="M16" s="4">
        <v>0.11399999</v>
      </c>
      <c r="N16" s="4">
        <v>0.34080002</v>
      </c>
      <c r="O16" s="3" t="s">
        <v>90</v>
      </c>
      <c r="P16" s="5">
        <v>1400</v>
      </c>
      <c r="Q16" s="5">
        <v>1835.6552</v>
      </c>
      <c r="R16" s="5">
        <v>1875</v>
      </c>
      <c r="S16" s="5">
        <v>2100</v>
      </c>
      <c r="T16" s="7">
        <v>20.28</v>
      </c>
      <c r="U16" s="7">
        <v>37.0733</v>
      </c>
      <c r="V16" s="7">
        <v>49.70657</v>
      </c>
    </row>
    <row r="17" spans="1:22" ht="18" customHeight="1">
      <c r="A17" s="3" t="s">
        <v>180</v>
      </c>
      <c r="B17" s="4">
        <v>0.01577792</v>
      </c>
      <c r="C17" s="4">
        <v>0.3705774524648937</v>
      </c>
      <c r="D17" s="4">
        <v>-0.575497742111251</v>
      </c>
      <c r="E17" s="4">
        <v>-0.257805728386438</v>
      </c>
      <c r="F17" s="4">
        <v>-0.3207963873780015</v>
      </c>
      <c r="G17" s="4">
        <v>0.2735067736662471</v>
      </c>
      <c r="H17" s="15"/>
      <c r="I17" s="6">
        <v>235.5700073242188</v>
      </c>
      <c r="J17" s="7">
        <v>25.357374</v>
      </c>
      <c r="K17" s="7">
        <v>22.14951</v>
      </c>
      <c r="L17" s="4">
        <v>0.1382382149564476</v>
      </c>
      <c r="M17" s="4">
        <v>-0.1062</v>
      </c>
      <c r="N17" s="4">
        <v>-0.0109</v>
      </c>
      <c r="O17" s="3" t="s">
        <v>180</v>
      </c>
      <c r="P17" s="5">
        <v>100</v>
      </c>
      <c r="Q17" s="5">
        <v>174.83871</v>
      </c>
      <c r="R17" s="5">
        <v>160</v>
      </c>
      <c r="S17" s="5">
        <v>300</v>
      </c>
      <c r="T17" s="7">
        <v>5.01</v>
      </c>
      <c r="U17" s="7">
        <v>10.75261</v>
      </c>
      <c r="V17" s="7">
        <v>10.63545</v>
      </c>
    </row>
    <row r="18" spans="1:22" ht="18" customHeight="1">
      <c r="A18" s="3" t="s">
        <v>82</v>
      </c>
      <c r="B18" s="4">
        <v>0.0155643</v>
      </c>
      <c r="C18" s="4">
        <v>4.729763532002877</v>
      </c>
      <c r="D18" s="4">
        <v>-0.3659087397776779</v>
      </c>
      <c r="E18" s="4">
        <v>-0.1128775392057574</v>
      </c>
      <c r="F18" s="4">
        <v>-0.1439767986998652</v>
      </c>
      <c r="G18" s="4">
        <v>0.2681825204446442</v>
      </c>
      <c r="H18" s="15"/>
      <c r="I18" s="6">
        <v>1577.06005859375</v>
      </c>
      <c r="J18" s="7">
        <v>53.97194</v>
      </c>
      <c r="K18" s="7">
        <v>9.317542</v>
      </c>
      <c r="L18" s="4">
        <v>5.59388902452257</v>
      </c>
      <c r="M18" s="4">
        <v>0.205815</v>
      </c>
      <c r="N18" s="4">
        <v>0.01623</v>
      </c>
      <c r="O18" s="3" t="s">
        <v>82</v>
      </c>
      <c r="P18" s="5">
        <v>1000</v>
      </c>
      <c r="Q18" s="5">
        <v>1399.0454</v>
      </c>
      <c r="R18" s="5">
        <v>1350</v>
      </c>
      <c r="S18" s="5">
        <v>2000</v>
      </c>
      <c r="T18" s="7">
        <v>-11.32</v>
      </c>
      <c r="U18" s="7">
        <v>64.52876000000001</v>
      </c>
      <c r="V18" s="7">
        <v>169.2571</v>
      </c>
    </row>
    <row r="19" spans="1:22" ht="18" customHeight="1">
      <c r="A19" s="3" t="s">
        <v>200</v>
      </c>
      <c r="B19" s="4">
        <v>0.01449538</v>
      </c>
      <c r="C19" s="4">
        <v>-0.224445840238057</v>
      </c>
      <c r="D19" s="4">
        <v>-0.1261483068179814</v>
      </c>
      <c r="E19" s="4">
        <v>0.2465897719407579</v>
      </c>
      <c r="F19" s="4">
        <v>0.2659646324303604</v>
      </c>
      <c r="G19" s="4">
        <v>0.5012323959793654</v>
      </c>
      <c r="H19" s="15"/>
      <c r="I19" s="6">
        <v>223.1499938964844</v>
      </c>
      <c r="J19" s="7">
        <v>19.747787</v>
      </c>
      <c r="K19" s="7">
        <v>16.586466</v>
      </c>
      <c r="L19" s="4">
        <v>0.3815735615279685</v>
      </c>
      <c r="M19" s="4">
        <v>0.07239999599999999</v>
      </c>
      <c r="N19" s="4">
        <v>0.082399994</v>
      </c>
      <c r="O19" s="3" t="s">
        <v>200</v>
      </c>
      <c r="P19" s="5">
        <v>195</v>
      </c>
      <c r="Q19" s="5">
        <v>278.1765</v>
      </c>
      <c r="R19" s="5">
        <v>282.5</v>
      </c>
      <c r="S19" s="5">
        <v>335</v>
      </c>
      <c r="T19" s="7">
        <v>11.17</v>
      </c>
      <c r="U19" s="7">
        <v>12.42947</v>
      </c>
      <c r="V19" s="7">
        <v>13.45374</v>
      </c>
    </row>
    <row r="20" spans="1:22" ht="18" customHeight="1">
      <c r="A20" s="3" t="s">
        <v>100</v>
      </c>
      <c r="B20" s="4">
        <v>0.01373666</v>
      </c>
      <c r="C20" s="4">
        <v>0.5324006694763559</v>
      </c>
      <c r="D20" s="4">
        <v>-0.2945453032801452</v>
      </c>
      <c r="E20" s="4">
        <v>-0.05687378976026081</v>
      </c>
      <c r="F20" s="4">
        <v>-0.04345125868494248</v>
      </c>
      <c r="G20" s="4">
        <v>0.1359016303116307</v>
      </c>
      <c r="H20" s="15"/>
      <c r="I20" s="6">
        <v>418.1700134277344</v>
      </c>
      <c r="J20" s="7">
        <v>76.58790999999999</v>
      </c>
      <c r="K20" s="7">
        <v>31.799156</v>
      </c>
      <c r="L20" s="4">
        <v>0.3043409700860968</v>
      </c>
      <c r="M20" s="4">
        <v>0.4721</v>
      </c>
      <c r="N20" s="4">
        <v>0.1467</v>
      </c>
      <c r="O20" s="3" t="s">
        <v>100</v>
      </c>
      <c r="P20" s="5">
        <v>295</v>
      </c>
      <c r="Q20" s="5">
        <v>394.3871</v>
      </c>
      <c r="R20" s="5">
        <v>400</v>
      </c>
      <c r="S20" s="5">
        <v>475</v>
      </c>
      <c r="T20" s="7">
        <v>4.56</v>
      </c>
      <c r="U20" s="7">
        <v>11.46783</v>
      </c>
      <c r="V20" s="7">
        <v>13.15035</v>
      </c>
    </row>
    <row r="21" spans="1:22" ht="18" customHeight="1">
      <c r="A21" s="3" t="s">
        <v>84</v>
      </c>
      <c r="B21" s="4">
        <v>0.0115193</v>
      </c>
      <c r="C21" s="4">
        <v>1.908382190211387</v>
      </c>
      <c r="D21" s="4">
        <v>-0.3471646639772751</v>
      </c>
      <c r="E21" s="4">
        <v>-0.04775341627472063</v>
      </c>
      <c r="F21" s="4">
        <v>-0.07644762555317264</v>
      </c>
      <c r="G21" s="4">
        <v>0.1978630018765595</v>
      </c>
      <c r="H21" s="15"/>
      <c r="I21" s="6">
        <v>834.8200073242188</v>
      </c>
      <c r="J21" s="7">
        <v>78.98013</v>
      </c>
      <c r="K21" s="7">
        <v>31.774765</v>
      </c>
      <c r="L21" s="4">
        <v>2.249612117867108</v>
      </c>
      <c r="M21" s="4">
        <v>0.8376</v>
      </c>
      <c r="N21" s="4">
        <v>0.7651</v>
      </c>
      <c r="O21" s="3" t="s">
        <v>84</v>
      </c>
      <c r="P21" s="5">
        <v>545</v>
      </c>
      <c r="Q21" s="5">
        <v>794.9545000000001</v>
      </c>
      <c r="R21" s="5">
        <v>771</v>
      </c>
      <c r="S21" s="5">
        <v>1000</v>
      </c>
      <c r="T21" s="7">
        <v>1.58</v>
      </c>
      <c r="U21" s="7">
        <v>14.88438</v>
      </c>
      <c r="V21" s="7">
        <v>26.27305</v>
      </c>
    </row>
    <row r="22" spans="1:22" ht="18" customHeight="1">
      <c r="A22" s="3" t="s">
        <v>201</v>
      </c>
      <c r="B22" s="4">
        <v>0.01149862</v>
      </c>
      <c r="C22" s="4">
        <v>-0.3002809929737281</v>
      </c>
      <c r="D22" s="4">
        <v>0.07332502211196901</v>
      </c>
      <c r="E22" s="4">
        <v>0.515383535903192</v>
      </c>
      <c r="F22" s="4">
        <v>0.4292170031280431</v>
      </c>
      <c r="G22" s="4">
        <v>1.683312555279923</v>
      </c>
      <c r="H22" s="15"/>
      <c r="I22" s="6">
        <v>177.0200042724609</v>
      </c>
      <c r="J22" s="7">
        <v>22.694872</v>
      </c>
      <c r="K22" s="7">
        <v>11.848919</v>
      </c>
      <c r="L22" s="4">
        <v>-0.1936145829142584</v>
      </c>
      <c r="M22" s="4">
        <v>0.0545</v>
      </c>
      <c r="N22" s="4">
        <v>0.13159999</v>
      </c>
      <c r="O22" s="3" t="s">
        <v>201</v>
      </c>
      <c r="P22" s="5">
        <v>190</v>
      </c>
      <c r="Q22" s="5">
        <v>268.2532</v>
      </c>
      <c r="R22" s="5">
        <v>253</v>
      </c>
      <c r="S22" s="5">
        <v>475</v>
      </c>
      <c r="T22" s="7">
        <v>7.8</v>
      </c>
      <c r="U22" s="7">
        <v>13.20252</v>
      </c>
      <c r="V22" s="7">
        <v>14.93976</v>
      </c>
    </row>
    <row r="23" spans="1:22" ht="18" customHeight="1">
      <c r="A23" s="3" t="s">
        <v>202</v>
      </c>
      <c r="B23" s="4">
        <v>0.01133781</v>
      </c>
      <c r="C23" s="4">
        <v>0.191942930408963</v>
      </c>
      <c r="D23" s="4">
        <v>-0.4667883950903821</v>
      </c>
      <c r="E23" s="4">
        <v>-0.0291769536462787</v>
      </c>
      <c r="F23" s="4">
        <v>-0.0177680962191249</v>
      </c>
      <c r="G23" s="4">
        <v>0.2394831166758662</v>
      </c>
      <c r="H23" s="15"/>
      <c r="I23" s="6">
        <v>213.7987976074219</v>
      </c>
      <c r="J23" s="7">
        <v>118.12089</v>
      </c>
      <c r="K23" s="7">
        <v>53.852245</v>
      </c>
      <c r="L23" s="4">
        <v>0.01914347322075849</v>
      </c>
      <c r="M23" s="4">
        <v>0.105100006</v>
      </c>
      <c r="N23" s="4">
        <v>0.0756</v>
      </c>
      <c r="O23" s="3" t="s">
        <v>202</v>
      </c>
      <c r="P23" s="5">
        <v>114</v>
      </c>
      <c r="Q23" s="5">
        <v>207.5608</v>
      </c>
      <c r="R23" s="5">
        <v>210</v>
      </c>
      <c r="S23" s="5">
        <v>265</v>
      </c>
      <c r="T23" s="7">
        <v>1.6</v>
      </c>
      <c r="U23" s="7">
        <v>3.69117</v>
      </c>
      <c r="V23" s="7">
        <v>2.29782</v>
      </c>
    </row>
    <row r="24" spans="1:22" ht="18" customHeight="1">
      <c r="A24" s="3" t="s">
        <v>86</v>
      </c>
      <c r="B24" s="4">
        <v>0.01098386</v>
      </c>
      <c r="C24" s="4">
        <v>1.758059024879746</v>
      </c>
      <c r="D24" s="4">
        <v>-0.3042671646926532</v>
      </c>
      <c r="E24" s="4">
        <v>-0.04204967211415023</v>
      </c>
      <c r="F24" s="4">
        <v>-0.03370439540646286</v>
      </c>
      <c r="G24" s="4">
        <v>0.2755101980634691</v>
      </c>
      <c r="H24" s="15"/>
      <c r="I24" s="6">
        <v>517.4400024414062</v>
      </c>
      <c r="J24" s="7">
        <v>30.98443</v>
      </c>
      <c r="K24" s="7">
        <v>29.707438</v>
      </c>
      <c r="L24" s="4">
        <v>2.697874632899181</v>
      </c>
      <c r="M24" s="4">
        <v>1.0124</v>
      </c>
      <c r="N24" s="4">
        <v>0.7556</v>
      </c>
      <c r="O24" s="3" t="s">
        <v>86</v>
      </c>
      <c r="P24" s="5">
        <v>360</v>
      </c>
      <c r="Q24" s="5">
        <v>495.68182</v>
      </c>
      <c r="R24" s="5">
        <v>500</v>
      </c>
      <c r="S24" s="5">
        <v>660</v>
      </c>
      <c r="T24" s="7">
        <v>5.12</v>
      </c>
      <c r="U24" s="7">
        <v>9.92107</v>
      </c>
      <c r="V24" s="7">
        <v>17.41786</v>
      </c>
    </row>
    <row r="25" spans="1:22" ht="18" customHeight="1">
      <c r="A25" s="3" t="s">
        <v>96</v>
      </c>
      <c r="B25" s="4">
        <v>0.01062194</v>
      </c>
      <c r="C25" s="4">
        <v>-0.1243912490886929</v>
      </c>
      <c r="D25" s="4">
        <v>0.1057416991510118</v>
      </c>
      <c r="E25" s="4">
        <v>0.4884283352509406</v>
      </c>
      <c r="F25" s="4">
        <v>0.4743222655346826</v>
      </c>
      <c r="G25" s="4">
        <v>0.7609960393886486</v>
      </c>
      <c r="H25" s="15"/>
      <c r="I25" s="6">
        <v>122.0899963378906</v>
      </c>
      <c r="J25" s="7">
        <v>35.083332</v>
      </c>
      <c r="K25" s="7">
        <v>21.69482</v>
      </c>
      <c r="L25" s="4">
        <v>0.9733383609668997</v>
      </c>
      <c r="M25" s="4">
        <v>0.4411</v>
      </c>
      <c r="N25" s="4">
        <v>0.1692</v>
      </c>
      <c r="O25" s="3" t="s">
        <v>96</v>
      </c>
      <c r="P25" s="5">
        <v>135</v>
      </c>
      <c r="Q25" s="5">
        <v>181.72221</v>
      </c>
      <c r="R25" s="5">
        <v>180</v>
      </c>
      <c r="S25" s="5">
        <v>215</v>
      </c>
      <c r="T25" s="7">
        <v>3.34</v>
      </c>
      <c r="U25" s="7">
        <v>4.8133</v>
      </c>
      <c r="V25" s="7">
        <v>5.62761</v>
      </c>
    </row>
    <row r="26" spans="1:22" ht="18" customHeight="1">
      <c r="A26" s="3" t="s">
        <v>203</v>
      </c>
      <c r="B26" s="4">
        <v>0.009880659999999999</v>
      </c>
      <c r="C26" s="4">
        <v>0.017178129222293</v>
      </c>
      <c r="D26" s="4">
        <v>0.2730416465725691</v>
      </c>
      <c r="E26" s="4">
        <v>0.3900584573459622</v>
      </c>
      <c r="F26" s="4">
        <v>0.3687037356213749</v>
      </c>
      <c r="G26" s="4">
        <v>0.6188968915951747</v>
      </c>
      <c r="H26" s="15"/>
      <c r="I26" s="6">
        <v>135.8950042724609</v>
      </c>
      <c r="J26" s="7">
        <v>46.699314</v>
      </c>
      <c r="K26" s="7">
        <v>30.645912</v>
      </c>
      <c r="L26" s="4">
        <v>0.1721083970498218</v>
      </c>
      <c r="M26" s="4">
        <v>0.21790001</v>
      </c>
      <c r="N26" s="4">
        <v>0.2218</v>
      </c>
      <c r="O26" s="3" t="s">
        <v>203</v>
      </c>
      <c r="P26" s="5">
        <v>173</v>
      </c>
      <c r="Q26" s="5">
        <v>188.902</v>
      </c>
      <c r="R26" s="5">
        <v>186</v>
      </c>
      <c r="S26" s="5">
        <v>220</v>
      </c>
      <c r="T26" s="7">
        <v>2.75</v>
      </c>
      <c r="U26" s="7">
        <v>3.62926</v>
      </c>
      <c r="V26" s="7">
        <v>4.43436</v>
      </c>
    </row>
    <row r="27" spans="1:22" ht="18" customHeight="1">
      <c r="A27" s="3" t="s">
        <v>97</v>
      </c>
      <c r="B27" s="4">
        <v>0.00985077</v>
      </c>
      <c r="C27" s="4">
        <v>1.298919471482339</v>
      </c>
      <c r="D27" s="4">
        <v>-0.2838421913839405</v>
      </c>
      <c r="E27" s="4">
        <v>-0.05954219056106258</v>
      </c>
      <c r="F27" s="4">
        <v>-0.08677863330838054</v>
      </c>
      <c r="G27" s="4">
        <v>0.1054784965214342</v>
      </c>
      <c r="H27" s="15"/>
      <c r="I27" s="6">
        <v>208.0547027587891</v>
      </c>
      <c r="J27" s="7">
        <v>100.026306</v>
      </c>
      <c r="K27" s="7">
        <v>49.45582</v>
      </c>
      <c r="L27" s="4">
        <v>0.9101711549295493</v>
      </c>
      <c r="M27" s="4">
        <v>0.2682</v>
      </c>
      <c r="N27" s="4">
        <v>0.3164</v>
      </c>
      <c r="O27" s="3" t="s">
        <v>97</v>
      </c>
      <c r="P27" s="5">
        <v>149</v>
      </c>
      <c r="Q27" s="5">
        <v>195.66667</v>
      </c>
      <c r="R27" s="5">
        <v>190</v>
      </c>
      <c r="S27" s="5">
        <v>230</v>
      </c>
      <c r="T27" s="7">
        <v>1.83</v>
      </c>
      <c r="U27" s="7">
        <v>3.19577</v>
      </c>
      <c r="V27" s="7">
        <v>4.20688</v>
      </c>
    </row>
    <row r="28" spans="1:22" ht="18" customHeight="1">
      <c r="A28" s="3" t="s">
        <v>204</v>
      </c>
      <c r="B28" s="4">
        <v>0.00897996</v>
      </c>
      <c r="C28" s="4">
        <v>0.1898232035195802</v>
      </c>
      <c r="D28" s="4">
        <v>-0.3181144289314426</v>
      </c>
      <c r="E28" s="4">
        <v>-0.08613525293999158</v>
      </c>
      <c r="F28" s="4">
        <v>-0.07352503930902521</v>
      </c>
      <c r="G28" s="4">
        <v>0.3081826444956564</v>
      </c>
      <c r="H28" s="15"/>
      <c r="I28" s="6">
        <v>539.6799926757812</v>
      </c>
      <c r="J28" s="9" t="s">
        <v>79</v>
      </c>
      <c r="K28" s="7">
        <v>87.49619</v>
      </c>
      <c r="L28" s="4">
        <v>0.3495710678525419</v>
      </c>
      <c r="M28" s="4">
        <v>0.3014</v>
      </c>
      <c r="N28" s="4">
        <v>0.2707</v>
      </c>
      <c r="O28" s="3" t="s">
        <v>204</v>
      </c>
      <c r="P28" s="5">
        <v>368</v>
      </c>
      <c r="Q28" s="5">
        <v>493.19452</v>
      </c>
      <c r="R28" s="5">
        <v>500</v>
      </c>
      <c r="S28" s="5">
        <v>706</v>
      </c>
      <c r="T28" s="7">
        <v>-0.08</v>
      </c>
      <c r="U28" s="7">
        <v>4.85415</v>
      </c>
      <c r="V28" s="7">
        <v>6.16804</v>
      </c>
    </row>
    <row r="29" spans="1:22" ht="18" customHeight="1">
      <c r="A29" s="3" t="s">
        <v>205</v>
      </c>
      <c r="B29" s="4">
        <v>0.00857013</v>
      </c>
      <c r="C29" s="4">
        <v>-0.2390671587094685</v>
      </c>
      <c r="D29" s="4">
        <v>-0.277364505844846</v>
      </c>
      <c r="E29" s="4">
        <v>0.3715651434643996</v>
      </c>
      <c r="F29" s="4">
        <v>0.40807651434644</v>
      </c>
      <c r="G29" s="4">
        <v>0.8278427205100956</v>
      </c>
      <c r="H29" s="15"/>
      <c r="I29" s="6">
        <v>470.5</v>
      </c>
      <c r="J29" s="7">
        <v>40.98432</v>
      </c>
      <c r="K29" s="7">
        <v>21.476555</v>
      </c>
      <c r="L29" s="4">
        <v>0.971502164347936</v>
      </c>
      <c r="M29" s="4">
        <v>0.65279996</v>
      </c>
      <c r="N29" s="4">
        <v>0.2379</v>
      </c>
      <c r="O29" s="3" t="s">
        <v>205</v>
      </c>
      <c r="P29" s="5">
        <v>340</v>
      </c>
      <c r="Q29" s="5">
        <v>645.3214</v>
      </c>
      <c r="R29" s="5">
        <v>662.5</v>
      </c>
      <c r="S29" s="5">
        <v>860</v>
      </c>
      <c r="T29" s="7">
        <v>9.75</v>
      </c>
      <c r="U29" s="7">
        <v>16.16607</v>
      </c>
      <c r="V29" s="7">
        <v>21.07667</v>
      </c>
    </row>
    <row r="30" spans="1:22" ht="18" customHeight="1">
      <c r="A30" s="3" t="s">
        <v>206</v>
      </c>
      <c r="B30" s="4">
        <v>0.007492680000000001</v>
      </c>
      <c r="C30" s="4">
        <v>-0.326787557417858</v>
      </c>
      <c r="D30" s="4">
        <v>0.2101653977828195</v>
      </c>
      <c r="E30" s="4">
        <v>0.435991942332276</v>
      </c>
      <c r="F30" s="4">
        <v>0.4320290540430032</v>
      </c>
      <c r="G30" s="4">
        <v>0.8440615585262012</v>
      </c>
      <c r="H30" s="15"/>
      <c r="I30" s="6">
        <v>173.5299987792969</v>
      </c>
      <c r="J30" s="7">
        <v>14.22377</v>
      </c>
      <c r="K30" s="7">
        <v>11.641145</v>
      </c>
      <c r="L30" s="4">
        <v>-0.219853938591136</v>
      </c>
      <c r="M30" s="4">
        <v>0.0733</v>
      </c>
      <c r="N30" s="4">
        <v>0.074099995</v>
      </c>
      <c r="O30" s="3" t="s">
        <v>206</v>
      </c>
      <c r="P30" s="5">
        <v>210</v>
      </c>
      <c r="Q30" s="5">
        <v>249.18768</v>
      </c>
      <c r="R30" s="5">
        <v>248.5</v>
      </c>
      <c r="S30" s="5">
        <v>320</v>
      </c>
      <c r="T30" s="7">
        <v>12.15</v>
      </c>
      <c r="U30" s="7">
        <v>13.87767</v>
      </c>
      <c r="V30" s="7">
        <v>14.90661</v>
      </c>
    </row>
    <row r="31" spans="1:22" ht="18" customHeight="1">
      <c r="A31" s="3" t="s">
        <v>207</v>
      </c>
      <c r="B31" s="4">
        <v>0.007443419999999999</v>
      </c>
      <c r="C31" s="4">
        <v>-0.3759730667290302</v>
      </c>
      <c r="D31" s="4">
        <v>0.08731804771195062</v>
      </c>
      <c r="E31" s="4">
        <v>0.5199675273664297</v>
      </c>
      <c r="F31" s="4">
        <v>0.5094532897648256</v>
      </c>
      <c r="G31" s="4">
        <v>1.343490192245052</v>
      </c>
      <c r="H31" s="15"/>
      <c r="I31" s="6">
        <v>390.8699951171875</v>
      </c>
      <c r="J31" s="7">
        <v>25.414173</v>
      </c>
      <c r="K31" s="7">
        <v>14.75894</v>
      </c>
      <c r="L31" s="4">
        <v>0.07066102085416048</v>
      </c>
      <c r="M31" s="4">
        <v>0.1526</v>
      </c>
      <c r="N31" s="4">
        <v>0.14029999</v>
      </c>
      <c r="O31" s="3" t="s">
        <v>207</v>
      </c>
      <c r="P31" s="5">
        <v>425</v>
      </c>
      <c r="Q31" s="5">
        <v>594.1097</v>
      </c>
      <c r="R31" s="5">
        <v>590</v>
      </c>
      <c r="S31" s="5">
        <v>916</v>
      </c>
      <c r="T31" s="7">
        <v>13.67</v>
      </c>
      <c r="U31" s="7">
        <v>23.2242</v>
      </c>
      <c r="V31" s="7">
        <v>26.48361</v>
      </c>
    </row>
    <row r="32" spans="1:22" ht="18" customHeight="1">
      <c r="A32" s="3" t="s">
        <v>208</v>
      </c>
      <c r="B32" s="4">
        <v>0.00701075</v>
      </c>
      <c r="C32" s="4">
        <v>-0.2626762406224598</v>
      </c>
      <c r="D32" s="4">
        <v>-0.1048155206900645</v>
      </c>
      <c r="E32" s="4">
        <v>0.3344555723276812</v>
      </c>
      <c r="F32" s="4">
        <v>0.2807445035690852</v>
      </c>
      <c r="G32" s="4">
        <v>0.9816129155633571</v>
      </c>
      <c r="H32" s="15"/>
      <c r="I32" s="6">
        <v>245.7593994140625</v>
      </c>
      <c r="J32" s="7">
        <v>14.321095</v>
      </c>
      <c r="K32" s="7">
        <v>9.313541000000001</v>
      </c>
      <c r="L32" s="4">
        <v>-0.2063719042304422</v>
      </c>
      <c r="M32" s="4">
        <v>0.1246</v>
      </c>
      <c r="N32" s="4">
        <v>0.1205</v>
      </c>
      <c r="O32" s="3" t="s">
        <v>208</v>
      </c>
      <c r="P32" s="5">
        <v>220</v>
      </c>
      <c r="Q32" s="5">
        <v>327.955</v>
      </c>
      <c r="R32" s="5">
        <v>314.755</v>
      </c>
      <c r="S32" s="5">
        <v>487</v>
      </c>
      <c r="T32" s="7">
        <v>16.7</v>
      </c>
      <c r="U32" s="7">
        <v>23.54855</v>
      </c>
      <c r="V32" s="7">
        <v>26.38631</v>
      </c>
    </row>
    <row r="33" spans="1:22" ht="18" customHeight="1">
      <c r="A33" s="3" t="s">
        <v>197</v>
      </c>
      <c r="B33" s="4">
        <v>0.00666914</v>
      </c>
      <c r="C33" s="4">
        <v>0.07113558203280657</v>
      </c>
      <c r="D33" s="4">
        <v>-0.2152080315744377</v>
      </c>
      <c r="E33" s="4">
        <v>0.03896876269403693</v>
      </c>
      <c r="F33" s="4">
        <v>0.04936898093302866</v>
      </c>
      <c r="G33" s="4">
        <v>0.2631293289008678</v>
      </c>
      <c r="H33" s="15"/>
      <c r="I33" s="6">
        <v>514.594970703125</v>
      </c>
      <c r="J33" s="7">
        <v>79.04684399999999</v>
      </c>
      <c r="K33" s="7">
        <v>30.18246</v>
      </c>
      <c r="L33" s="4">
        <v>-0.02699119374271752</v>
      </c>
      <c r="M33" s="4">
        <v>0.1195</v>
      </c>
      <c r="N33" s="4">
        <v>0.17959999</v>
      </c>
      <c r="O33" s="3" t="s">
        <v>197</v>
      </c>
      <c r="P33" s="5">
        <v>403.85</v>
      </c>
      <c r="Q33" s="5">
        <v>534.6481</v>
      </c>
      <c r="R33" s="5">
        <v>540</v>
      </c>
      <c r="S33" s="5">
        <v>650</v>
      </c>
      <c r="T33" s="7">
        <v>8.039999999999999</v>
      </c>
      <c r="U33" s="7">
        <v>14.45319</v>
      </c>
      <c r="V33" s="7">
        <v>17.04947</v>
      </c>
    </row>
    <row r="34" spans="1:22" ht="18" customHeight="1">
      <c r="A34" s="3" t="s">
        <v>198</v>
      </c>
      <c r="B34" s="4">
        <v>0.00666354</v>
      </c>
      <c r="C34" s="4">
        <v>0.17129514972048</v>
      </c>
      <c r="D34" s="4">
        <v>-0.2436119744201979</v>
      </c>
      <c r="E34" s="4">
        <v>0.04394557404052657</v>
      </c>
      <c r="F34" s="4">
        <v>0.06581949058972114</v>
      </c>
      <c r="G34" s="4">
        <v>0.1689633122596941</v>
      </c>
      <c r="H34" s="15"/>
      <c r="I34" s="6">
        <v>363.5700073242188</v>
      </c>
      <c r="J34" s="7">
        <v>84.94626</v>
      </c>
      <c r="K34" s="7">
        <v>38.75732</v>
      </c>
      <c r="L34" s="4">
        <v>0.05012424486526834</v>
      </c>
      <c r="M34" s="4">
        <v>0.11399999</v>
      </c>
      <c r="N34" s="4">
        <v>0.17940001</v>
      </c>
      <c r="O34" s="3" t="s">
        <v>198</v>
      </c>
      <c r="P34" s="5">
        <v>275</v>
      </c>
      <c r="Q34" s="5">
        <v>379.5473</v>
      </c>
      <c r="R34" s="5">
        <v>387.5</v>
      </c>
      <c r="S34" s="5">
        <v>425</v>
      </c>
      <c r="T34" s="7">
        <v>4.06</v>
      </c>
      <c r="U34" s="7">
        <v>4.49478</v>
      </c>
      <c r="V34" s="7">
        <v>9.38068</v>
      </c>
    </row>
    <row r="35" spans="1:22" ht="18" customHeight="1">
      <c r="A35" s="3" t="s">
        <v>209</v>
      </c>
      <c r="B35" s="4">
        <v>0.0064372</v>
      </c>
      <c r="C35" s="4">
        <v>-0.3839945492644684</v>
      </c>
      <c r="D35" s="4">
        <v>-0.06418586054747188</v>
      </c>
      <c r="E35" s="4">
        <v>0.5993364204726142</v>
      </c>
      <c r="F35" s="4">
        <v>0.5413409355688699</v>
      </c>
      <c r="G35" s="4">
        <v>1.642298746689491</v>
      </c>
      <c r="H35" s="15"/>
      <c r="I35" s="6">
        <v>90.83000183105469</v>
      </c>
      <c r="J35" s="7">
        <v>54.06548</v>
      </c>
      <c r="K35" s="7">
        <v>18.12493</v>
      </c>
      <c r="L35" s="4">
        <v>-0.2735265417677772</v>
      </c>
      <c r="M35" s="4">
        <v>0.1745</v>
      </c>
      <c r="N35" s="4">
        <v>0.2191</v>
      </c>
      <c r="O35" s="3" t="s">
        <v>209</v>
      </c>
      <c r="P35" s="5">
        <v>85</v>
      </c>
      <c r="Q35" s="5">
        <v>145.26773</v>
      </c>
      <c r="R35" s="5">
        <v>140</v>
      </c>
      <c r="S35" s="5">
        <v>240</v>
      </c>
      <c r="T35" s="7">
        <v>1.67</v>
      </c>
      <c r="U35" s="7">
        <v>4.1224</v>
      </c>
      <c r="V35" s="7">
        <v>5.02558</v>
      </c>
    </row>
    <row r="36" spans="1:22" ht="18" customHeight="1">
      <c r="A36" s="3" t="s">
        <v>123</v>
      </c>
      <c r="B36" s="4">
        <v>0.005262820000000001</v>
      </c>
      <c r="C36" s="4">
        <v>0.763421745441216</v>
      </c>
      <c r="D36" s="4">
        <v>-0.08970360547896494</v>
      </c>
      <c r="E36" s="4">
        <v>0.09062174085295838</v>
      </c>
      <c r="F36" s="4">
        <v>0.09994147671291742</v>
      </c>
      <c r="G36" s="4">
        <v>0.2137285260280468</v>
      </c>
      <c r="H36" s="15"/>
      <c r="I36" s="6">
        <v>1647.81494140625</v>
      </c>
      <c r="J36" s="7">
        <v>118.29253</v>
      </c>
      <c r="K36" s="7">
        <v>54.63784</v>
      </c>
      <c r="L36" s="4">
        <v>0.5379549276510605</v>
      </c>
      <c r="M36" s="4">
        <v>0.3518</v>
      </c>
      <c r="N36" s="4">
        <v>0.2555</v>
      </c>
      <c r="O36" s="3" t="s">
        <v>123</v>
      </c>
      <c r="P36" s="5">
        <v>1500</v>
      </c>
      <c r="Q36" s="5">
        <v>1797.1428</v>
      </c>
      <c r="R36" s="5">
        <v>1812.5</v>
      </c>
      <c r="S36" s="5">
        <v>2000</v>
      </c>
      <c r="T36" s="7">
        <v>12.86</v>
      </c>
      <c r="U36" s="7">
        <v>24.02205</v>
      </c>
      <c r="V36" s="7">
        <v>30.15886</v>
      </c>
    </row>
    <row r="37" spans="1:22" ht="18" customHeight="1">
      <c r="A37" s="3" t="s">
        <v>210</v>
      </c>
      <c r="B37" s="4">
        <v>0.00522438</v>
      </c>
      <c r="C37" s="4">
        <v>0.9567864564917179</v>
      </c>
      <c r="D37" s="4">
        <v>-0.5568447366890703</v>
      </c>
      <c r="E37" s="4">
        <v>-0.2361264238677901</v>
      </c>
      <c r="F37" s="4">
        <v>-0.2748368418548423</v>
      </c>
      <c r="G37" s="4">
        <v>0.04745789509856135</v>
      </c>
      <c r="H37" s="15"/>
      <c r="I37" s="6">
        <v>248.2200012207031</v>
      </c>
      <c r="J37" s="7">
        <v>28.629757</v>
      </c>
      <c r="K37" s="7">
        <v>16.842463</v>
      </c>
      <c r="L37" s="4">
        <v>0.09988547003392245</v>
      </c>
      <c r="M37" s="4">
        <v>0.2568</v>
      </c>
      <c r="N37" s="4">
        <v>0.1385</v>
      </c>
      <c r="O37" s="3" t="s">
        <v>210</v>
      </c>
      <c r="P37" s="5">
        <v>110</v>
      </c>
      <c r="Q37" s="5">
        <v>189.6087</v>
      </c>
      <c r="R37" s="5">
        <v>180</v>
      </c>
      <c r="S37" s="5">
        <v>260</v>
      </c>
      <c r="T37" s="7">
        <v>8.68</v>
      </c>
      <c r="U37" s="7">
        <v>12.94478</v>
      </c>
      <c r="V37" s="7">
        <v>14.73775</v>
      </c>
    </row>
    <row r="38" spans="1:22" ht="18" customHeight="1">
      <c r="A38" s="3" t="s">
        <v>103</v>
      </c>
      <c r="B38" s="4">
        <v>0.00521074</v>
      </c>
      <c r="C38" s="4">
        <v>1.382223802024435</v>
      </c>
      <c r="D38" s="4">
        <v>-0.5905624528767701</v>
      </c>
      <c r="E38" s="4">
        <v>-0.2989988194892256</v>
      </c>
      <c r="F38" s="4">
        <v>-0.3090741392295494</v>
      </c>
      <c r="G38" s="4">
        <v>0.1259532545888824</v>
      </c>
      <c r="H38" s="15"/>
      <c r="I38" s="6">
        <v>586.1699829101562</v>
      </c>
      <c r="J38" s="7">
        <v>368.66037</v>
      </c>
      <c r="K38" s="7">
        <v>67.750275</v>
      </c>
      <c r="L38" s="4">
        <v>1.809586750590009</v>
      </c>
      <c r="M38" s="4">
        <v>1.3639</v>
      </c>
      <c r="N38" s="4">
        <v>0.38639998</v>
      </c>
      <c r="O38" s="3" t="s">
        <v>103</v>
      </c>
      <c r="P38" s="5">
        <v>240</v>
      </c>
      <c r="Q38" s="5">
        <v>410.90585</v>
      </c>
      <c r="R38" s="5">
        <v>405</v>
      </c>
      <c r="S38" s="5">
        <v>660</v>
      </c>
      <c r="T38" s="7">
        <v>0.85</v>
      </c>
      <c r="U38" s="7">
        <v>6.24071</v>
      </c>
      <c r="V38" s="7">
        <v>8.65192</v>
      </c>
    </row>
    <row r="39" spans="1:22" ht="18" customHeight="1">
      <c r="A39" s="3" t="s">
        <v>184</v>
      </c>
      <c r="B39" s="4">
        <v>0.00500688</v>
      </c>
      <c r="C39" s="4">
        <v>0.3661464036641464</v>
      </c>
      <c r="D39" s="4">
        <v>-0.3349739798016206</v>
      </c>
      <c r="E39" s="4">
        <v>-0.0124363600054066</v>
      </c>
      <c r="F39" s="4">
        <v>-0.002460969702430926</v>
      </c>
      <c r="G39" s="4">
        <v>0.1471698848422045</v>
      </c>
      <c r="H39" s="15"/>
      <c r="I39" s="6">
        <v>300.7401123046875</v>
      </c>
      <c r="J39" s="7">
        <v>28.751444</v>
      </c>
      <c r="K39" s="7">
        <v>17.070425</v>
      </c>
      <c r="L39" s="4">
        <v>0.07239406340566457</v>
      </c>
      <c r="M39" s="4">
        <v>0.2494</v>
      </c>
      <c r="N39" s="4">
        <v>0.19389999</v>
      </c>
      <c r="O39" s="3" t="s">
        <v>184</v>
      </c>
      <c r="P39" s="5">
        <v>200</v>
      </c>
      <c r="Q39" s="5">
        <v>297</v>
      </c>
      <c r="R39" s="5">
        <v>300</v>
      </c>
      <c r="S39" s="5">
        <v>345</v>
      </c>
      <c r="T39" s="7">
        <v>7.95</v>
      </c>
      <c r="U39" s="7">
        <v>14.7559</v>
      </c>
      <c r="V39" s="7">
        <v>17.61761</v>
      </c>
    </row>
    <row r="40" spans="1:22" ht="18" customHeight="1">
      <c r="A40" s="3" t="s">
        <v>211</v>
      </c>
      <c r="B40" s="4">
        <v>0.00486653</v>
      </c>
      <c r="C40" s="4">
        <v>0.4721366919520171</v>
      </c>
      <c r="D40" s="4">
        <v>-0.3894461485532599</v>
      </c>
      <c r="E40" s="4">
        <v>-0.07980812389098446</v>
      </c>
      <c r="F40" s="4">
        <v>-0.04928043131864746</v>
      </c>
      <c r="G40" s="4">
        <v>0.1338857241153746</v>
      </c>
      <c r="H40" s="15"/>
      <c r="I40" s="6">
        <v>114.6500015258789</v>
      </c>
      <c r="J40" s="7">
        <v>44.43799</v>
      </c>
      <c r="K40" s="7">
        <v>33.52614</v>
      </c>
      <c r="L40" s="4">
        <v>-0.1618996974975264</v>
      </c>
      <c r="M40" s="4">
        <v>0.1362</v>
      </c>
      <c r="N40" s="4">
        <v>0.09050000499999999</v>
      </c>
      <c r="O40" s="3" t="s">
        <v>211</v>
      </c>
      <c r="P40" s="5">
        <v>70</v>
      </c>
      <c r="Q40" s="5">
        <v>105.5</v>
      </c>
      <c r="R40" s="5">
        <v>109</v>
      </c>
      <c r="S40" s="5">
        <v>130</v>
      </c>
      <c r="T40" s="7">
        <v>2.42</v>
      </c>
      <c r="U40" s="7">
        <v>3.13604</v>
      </c>
      <c r="V40" s="7">
        <v>3.41972</v>
      </c>
    </row>
    <row r="41" spans="1:22" ht="18" customHeight="1">
      <c r="A41" s="3" t="s">
        <v>212</v>
      </c>
      <c r="B41" s="4">
        <v>0.0044348</v>
      </c>
      <c r="C41" s="4">
        <v>0.4941316343991065</v>
      </c>
      <c r="D41" s="4">
        <v>-0.3946064794315153</v>
      </c>
      <c r="E41" s="4">
        <v>0.1000674206805572</v>
      </c>
      <c r="F41" s="4">
        <v>0.1007154919426996</v>
      </c>
      <c r="G41" s="4">
        <v>0.6010407155530175</v>
      </c>
      <c r="H41" s="15"/>
      <c r="I41" s="6">
        <v>199.8699951171875</v>
      </c>
      <c r="J41" s="7">
        <v>525.9737</v>
      </c>
      <c r="K41" s="7">
        <v>70.52775</v>
      </c>
      <c r="L41" s="4">
        <v>-0.05319222397772594</v>
      </c>
      <c r="M41" s="4">
        <v>0.18020001</v>
      </c>
      <c r="N41" s="4">
        <v>0.1719</v>
      </c>
      <c r="O41" s="3" t="s">
        <v>212</v>
      </c>
      <c r="P41" s="5">
        <v>121</v>
      </c>
      <c r="Q41" s="5">
        <v>219.87047</v>
      </c>
      <c r="R41" s="5">
        <v>220</v>
      </c>
      <c r="S41" s="5">
        <v>320</v>
      </c>
      <c r="T41" s="7">
        <v>0.31</v>
      </c>
      <c r="U41" s="7">
        <v>2.41941</v>
      </c>
      <c r="V41" s="7">
        <v>2.83541</v>
      </c>
    </row>
    <row r="42" spans="1:22" ht="18" customHeight="1">
      <c r="A42" s="3" t="s">
        <v>213</v>
      </c>
      <c r="B42" s="4">
        <v>0.00435553</v>
      </c>
      <c r="C42" s="4">
        <v>1.729061183118754</v>
      </c>
      <c r="D42" s="4">
        <v>-0.4305875680139239</v>
      </c>
      <c r="E42" s="4">
        <v>0.02598705958348746</v>
      </c>
      <c r="F42" s="4">
        <v>0.04392279197447291</v>
      </c>
      <c r="G42" s="4">
        <v>0.3286290079675109</v>
      </c>
      <c r="H42" s="15"/>
      <c r="I42" s="6">
        <v>1053.7177734375</v>
      </c>
      <c r="J42" s="7">
        <v>185.18765</v>
      </c>
      <c r="K42" s="7">
        <v>58.539715</v>
      </c>
      <c r="L42" s="4">
        <v>3.305957977900246</v>
      </c>
      <c r="M42" s="4">
        <v>0.030031</v>
      </c>
      <c r="N42" s="4">
        <v>1.1827999</v>
      </c>
      <c r="O42" s="3" t="s">
        <v>213</v>
      </c>
      <c r="P42" s="5">
        <v>600</v>
      </c>
      <c r="Q42" s="5">
        <v>1081.1008</v>
      </c>
      <c r="R42" s="5">
        <v>1100</v>
      </c>
      <c r="S42" s="5">
        <v>1400</v>
      </c>
      <c r="T42" s="7">
        <v>0.37</v>
      </c>
      <c r="U42" s="7">
        <v>8.246359999999999</v>
      </c>
      <c r="V42" s="7">
        <v>18.00005</v>
      </c>
    </row>
    <row r="43" spans="1:22" ht="18" customHeight="1">
      <c r="A43" s="3" t="s">
        <v>214</v>
      </c>
      <c r="B43" s="4">
        <v>0.00429335</v>
      </c>
      <c r="C43" s="4">
        <v>0.03327256574074577</v>
      </c>
      <c r="D43" s="4">
        <v>0.1969642836463756</v>
      </c>
      <c r="E43" s="4">
        <v>0.2900357440934855</v>
      </c>
      <c r="F43" s="4">
        <v>0.2962868518638408</v>
      </c>
      <c r="G43" s="4">
        <v>0.3497682347501683</v>
      </c>
      <c r="H43" s="15"/>
      <c r="I43" s="6">
        <v>392.6600036621094</v>
      </c>
      <c r="J43" s="7">
        <v>31.66613</v>
      </c>
      <c r="K43" s="7">
        <v>21.275051</v>
      </c>
      <c r="L43" s="4">
        <v>-0.156178790652686</v>
      </c>
      <c r="M43" s="4">
        <v>0.102299996</v>
      </c>
      <c r="N43" s="4">
        <v>0.0887</v>
      </c>
      <c r="O43" s="3" t="s">
        <v>214</v>
      </c>
      <c r="P43" s="5">
        <v>470</v>
      </c>
      <c r="Q43" s="5">
        <v>506.54544</v>
      </c>
      <c r="R43" s="5">
        <v>509</v>
      </c>
      <c r="S43" s="5">
        <v>530</v>
      </c>
      <c r="T43" s="7">
        <v>12.75</v>
      </c>
      <c r="U43" s="7">
        <v>16.95286</v>
      </c>
      <c r="V43" s="7">
        <v>18.45636</v>
      </c>
    </row>
    <row r="44" spans="1:22" ht="18" customHeight="1">
      <c r="A44" s="3" t="s">
        <v>215</v>
      </c>
      <c r="B44" s="4">
        <v>0.00424228</v>
      </c>
      <c r="C44" s="4">
        <v>0.9566715723336714</v>
      </c>
      <c r="D44" s="4">
        <v>-0.3951188567561477</v>
      </c>
      <c r="E44" s="4">
        <v>-0.01698201241377795</v>
      </c>
      <c r="F44" s="4">
        <v>-0.0006311546405918245</v>
      </c>
      <c r="G44" s="4">
        <v>0.1977642586180217</v>
      </c>
      <c r="H44" s="15"/>
      <c r="I44" s="6">
        <v>380.239990234375</v>
      </c>
      <c r="J44" s="7">
        <v>180.20854</v>
      </c>
      <c r="K44" s="7">
        <v>47.438087</v>
      </c>
      <c r="L44" s="4">
        <v>0.8348743815859372</v>
      </c>
      <c r="M44" s="4">
        <v>0.5441</v>
      </c>
      <c r="N44" s="4">
        <v>0.4706</v>
      </c>
      <c r="O44" s="3" t="s">
        <v>215</v>
      </c>
      <c r="P44" s="5">
        <v>230</v>
      </c>
      <c r="Q44" s="5">
        <v>373.78275</v>
      </c>
      <c r="R44" s="5">
        <v>380</v>
      </c>
      <c r="S44" s="5">
        <v>455.43787</v>
      </c>
      <c r="T44" s="7">
        <v>-0.52</v>
      </c>
      <c r="U44" s="7">
        <v>5.45067</v>
      </c>
      <c r="V44" s="7">
        <v>8.015499999999999</v>
      </c>
    </row>
    <row r="45" spans="1:22" ht="18" customHeight="1">
      <c r="A45" s="3" t="s">
        <v>216</v>
      </c>
      <c r="B45" s="4">
        <v>0.00417097</v>
      </c>
      <c r="C45" s="4">
        <v>0.7789099733645162</v>
      </c>
      <c r="D45" s="4">
        <v>-0.4013686968150213</v>
      </c>
      <c r="E45" s="4">
        <v>-0.1424502093502261</v>
      </c>
      <c r="F45" s="4">
        <v>-0.1292635590036674</v>
      </c>
      <c r="G45" s="4">
        <v>0.04488372919559924</v>
      </c>
      <c r="H45" s="15"/>
      <c r="I45" s="6">
        <v>367.5050048828125</v>
      </c>
      <c r="J45" s="7">
        <v>64.587875</v>
      </c>
      <c r="K45" s="7">
        <v>35.562466</v>
      </c>
      <c r="L45" s="4">
        <v>0.2633051919159912</v>
      </c>
      <c r="M45" s="4">
        <v>0.24440001</v>
      </c>
      <c r="N45" s="4">
        <v>0.1599</v>
      </c>
      <c r="O45" s="3" t="s">
        <v>216</v>
      </c>
      <c r="P45" s="5">
        <v>220</v>
      </c>
      <c r="Q45" s="5">
        <v>315.15384</v>
      </c>
      <c r="R45" s="5">
        <v>320</v>
      </c>
      <c r="S45" s="5">
        <v>384</v>
      </c>
      <c r="T45" s="7">
        <v>4.89</v>
      </c>
      <c r="U45" s="7">
        <v>8.90973</v>
      </c>
      <c r="V45" s="7">
        <v>10.33407</v>
      </c>
    </row>
    <row r="46" spans="1:22" ht="18" customHeight="1">
      <c r="A46" s="3" t="s">
        <v>127</v>
      </c>
      <c r="B46" s="4">
        <v>0.00408379</v>
      </c>
      <c r="C46" s="4">
        <v>-0.1175768301212047</v>
      </c>
      <c r="D46" s="4">
        <v>0.07228153220941724</v>
      </c>
      <c r="E46" s="4">
        <v>0.2890466557504261</v>
      </c>
      <c r="F46" s="4">
        <v>0.2672418107929475</v>
      </c>
      <c r="G46" s="4">
        <v>0.7546425072517735</v>
      </c>
      <c r="H46" s="15"/>
      <c r="I46" s="6">
        <v>205.1699981689453</v>
      </c>
      <c r="J46" s="7">
        <v>20.9571</v>
      </c>
      <c r="K46" s="7">
        <v>16.253805</v>
      </c>
      <c r="L46" s="4">
        <v>0.6373698614443997</v>
      </c>
      <c r="M46" s="4">
        <v>0.2827</v>
      </c>
      <c r="N46" s="4">
        <v>0.1234</v>
      </c>
      <c r="O46" s="3" t="s">
        <v>127</v>
      </c>
      <c r="P46" s="5">
        <v>220</v>
      </c>
      <c r="Q46" s="5">
        <v>264.4737</v>
      </c>
      <c r="R46" s="5">
        <v>260</v>
      </c>
      <c r="S46" s="5">
        <v>360</v>
      </c>
      <c r="T46" s="7">
        <v>6.16</v>
      </c>
      <c r="U46" s="7">
        <v>11.2361</v>
      </c>
      <c r="V46" s="7">
        <v>12.62289</v>
      </c>
    </row>
    <row r="47" spans="1:22" ht="18" customHeight="1">
      <c r="A47" s="3" t="s">
        <v>128</v>
      </c>
      <c r="B47" s="4">
        <v>0.0038028</v>
      </c>
      <c r="C47" s="4">
        <v>0.7650949656640338</v>
      </c>
      <c r="D47" s="4">
        <v>-0.2627180953550796</v>
      </c>
      <c r="E47" s="4">
        <v>0.009064276296047113</v>
      </c>
      <c r="F47" s="4">
        <v>0.05677072999105248</v>
      </c>
      <c r="G47" s="4">
        <v>0.2834166488263428</v>
      </c>
      <c r="H47" s="15"/>
      <c r="I47" s="6">
        <v>366.2099914550781</v>
      </c>
      <c r="J47" s="7">
        <v>67.816666</v>
      </c>
      <c r="K47" s="7">
        <v>38.494854</v>
      </c>
      <c r="L47" s="4">
        <v>0.5360536026224678</v>
      </c>
      <c r="M47" s="4">
        <v>0.8128</v>
      </c>
      <c r="N47" s="4">
        <v>0.3252</v>
      </c>
      <c r="O47" s="3" t="s">
        <v>128</v>
      </c>
      <c r="P47" s="5">
        <v>270</v>
      </c>
      <c r="Q47" s="5">
        <v>369.52942</v>
      </c>
      <c r="R47" s="5">
        <v>387</v>
      </c>
      <c r="S47" s="5">
        <v>470</v>
      </c>
      <c r="T47" s="7">
        <v>3.47</v>
      </c>
      <c r="U47" s="7">
        <v>7.17873</v>
      </c>
      <c r="V47" s="7">
        <v>9.51322</v>
      </c>
    </row>
    <row r="48" spans="1:22" ht="18" customHeight="1">
      <c r="A48" s="3" t="s">
        <v>185</v>
      </c>
      <c r="B48" s="4">
        <v>0.00361908</v>
      </c>
      <c r="C48" s="4">
        <v>0.4989325818961641</v>
      </c>
      <c r="D48" s="4">
        <v>-0.2260461179013681</v>
      </c>
      <c r="E48" s="4">
        <v>0.1603116600422689</v>
      </c>
      <c r="F48" s="4">
        <v>0.2383262113578111</v>
      </c>
      <c r="G48" s="4">
        <v>0.3931169877775373</v>
      </c>
      <c r="H48" s="15"/>
      <c r="I48" s="6">
        <v>96.90499877929688</v>
      </c>
      <c r="J48" s="7">
        <v>440.47726</v>
      </c>
      <c r="K48" s="7">
        <v>23.717047</v>
      </c>
      <c r="L48" s="4">
        <v>0.1556103721876427</v>
      </c>
      <c r="M48" s="4">
        <v>0.92660004</v>
      </c>
      <c r="N48" s="4">
        <v>0.2932</v>
      </c>
      <c r="O48" s="3" t="s">
        <v>185</v>
      </c>
      <c r="P48" s="5">
        <v>75</v>
      </c>
      <c r="Q48" s="5">
        <v>112.44</v>
      </c>
      <c r="R48" s="5">
        <v>120</v>
      </c>
      <c r="S48" s="5">
        <v>135</v>
      </c>
      <c r="T48" s="7">
        <v>-0.01</v>
      </c>
      <c r="U48" s="7">
        <v>3.15956</v>
      </c>
      <c r="V48" s="7">
        <v>4.08588</v>
      </c>
    </row>
    <row r="49" spans="1:22" ht="18" customHeight="1">
      <c r="A49" s="3" t="s">
        <v>217</v>
      </c>
      <c r="B49" s="4">
        <v>0.00349851</v>
      </c>
      <c r="C49" s="4">
        <v>-0.1764377974340884</v>
      </c>
      <c r="D49" s="4">
        <v>0.04175489385888342</v>
      </c>
      <c r="E49" s="4">
        <v>0.3786246753681957</v>
      </c>
      <c r="F49" s="4">
        <v>0.3784195851669372</v>
      </c>
      <c r="G49" s="4">
        <v>0.931057852031101</v>
      </c>
      <c r="H49" s="15"/>
      <c r="I49" s="6">
        <v>236.1399993896484</v>
      </c>
      <c r="J49" s="7">
        <v>45.15105</v>
      </c>
      <c r="K49" s="7">
        <v>16.743006</v>
      </c>
      <c r="L49" s="4">
        <v>0.009170879497602424</v>
      </c>
      <c r="M49" s="4">
        <v>0.191</v>
      </c>
      <c r="N49" s="4">
        <v>0.1354</v>
      </c>
      <c r="O49" s="3" t="s">
        <v>217</v>
      </c>
      <c r="P49" s="5">
        <v>246</v>
      </c>
      <c r="Q49" s="5">
        <v>325.54843</v>
      </c>
      <c r="R49" s="5">
        <v>325.5</v>
      </c>
      <c r="S49" s="5">
        <v>456</v>
      </c>
      <c r="T49" s="7">
        <v>5.23</v>
      </c>
      <c r="U49" s="7">
        <v>12.42241</v>
      </c>
      <c r="V49" s="7">
        <v>14.1038</v>
      </c>
    </row>
    <row r="50" spans="1:22" ht="18" customHeight="1">
      <c r="A50" s="3" t="s">
        <v>218</v>
      </c>
      <c r="B50" s="4">
        <v>0.00281168</v>
      </c>
      <c r="C50" s="4">
        <v>0.2864796939111518</v>
      </c>
      <c r="D50" s="4">
        <v>-0.3202783722657992</v>
      </c>
      <c r="E50" s="4">
        <v>-0.1235850591095945</v>
      </c>
      <c r="F50" s="4">
        <v>-0.1260721929131705</v>
      </c>
      <c r="G50" s="4">
        <v>0.2299724692333156</v>
      </c>
      <c r="H50" s="15"/>
      <c r="I50" s="6">
        <v>30.89500045776367</v>
      </c>
      <c r="J50" s="9" t="s">
        <v>79</v>
      </c>
      <c r="K50" s="7">
        <v>11.362926</v>
      </c>
      <c r="L50" s="4">
        <v>0.1489269275747274</v>
      </c>
      <c r="M50" s="4">
        <v>0.24530001</v>
      </c>
      <c r="N50" s="4">
        <v>0.1254</v>
      </c>
      <c r="O50" s="3" t="s">
        <v>218</v>
      </c>
      <c r="P50" s="5">
        <v>21</v>
      </c>
      <c r="Q50" s="5">
        <v>27.07684</v>
      </c>
      <c r="R50" s="5">
        <v>27</v>
      </c>
      <c r="S50" s="5">
        <v>38</v>
      </c>
      <c r="T50" s="7">
        <v>-0.04</v>
      </c>
      <c r="U50" s="7">
        <v>2.41593</v>
      </c>
      <c r="V50" s="7">
        <v>2.71893</v>
      </c>
    </row>
    <row r="51" spans="1:22" ht="18" customHeight="1">
      <c r="A51" s="3" t="s">
        <v>186</v>
      </c>
      <c r="B51" s="4">
        <v>0.00274449</v>
      </c>
      <c r="C51" s="4">
        <v>0.8708994780189006</v>
      </c>
      <c r="D51" s="4">
        <v>-0.3589743700391496</v>
      </c>
      <c r="E51" s="4">
        <v>-0.02480884036225817</v>
      </c>
      <c r="F51" s="4">
        <v>-0.04788840255814864</v>
      </c>
      <c r="G51" s="4">
        <v>0.1783559374280339</v>
      </c>
      <c r="H51" s="15"/>
      <c r="I51" s="6">
        <v>106.0800018310547</v>
      </c>
      <c r="J51" s="7">
        <v>78</v>
      </c>
      <c r="K51" s="7">
        <v>24.870468</v>
      </c>
      <c r="L51" s="4">
        <v>-0.1225084697902059</v>
      </c>
      <c r="M51" s="4">
        <v>0.3147</v>
      </c>
      <c r="N51" s="4">
        <v>0.3805</v>
      </c>
      <c r="O51" s="3" t="s">
        <v>186</v>
      </c>
      <c r="P51" s="5">
        <v>68</v>
      </c>
      <c r="Q51" s="5">
        <v>103.44828</v>
      </c>
      <c r="R51" s="5">
        <v>101</v>
      </c>
      <c r="S51" s="5">
        <v>125</v>
      </c>
      <c r="T51" s="7">
        <v>0.29</v>
      </c>
      <c r="U51" s="7">
        <v>3.08965</v>
      </c>
      <c r="V51" s="7">
        <v>4.2653</v>
      </c>
    </row>
    <row r="52" spans="1:22" ht="18" customHeight="1">
      <c r="A52" s="3" t="s">
        <v>142</v>
      </c>
      <c r="B52" s="4">
        <v>0.00253122</v>
      </c>
      <c r="C52" s="4">
        <v>0.5298705055631863</v>
      </c>
      <c r="D52" s="4">
        <v>-0.2574459281050173</v>
      </c>
      <c r="E52" s="4">
        <v>-0.1540867532624922</v>
      </c>
      <c r="F52" s="4">
        <v>-0.1840065144011179</v>
      </c>
      <c r="G52" s="4">
        <v>-0.03440770870798959</v>
      </c>
      <c r="H52" s="15"/>
      <c r="I52" s="6">
        <v>367.6499938964844</v>
      </c>
      <c r="J52" s="7">
        <v>49.548515</v>
      </c>
      <c r="K52" s="7">
        <v>25.240856</v>
      </c>
      <c r="L52" s="4">
        <v>0.599184608508782</v>
      </c>
      <c r="M52" s="4">
        <v>0.2669</v>
      </c>
      <c r="N52" s="4">
        <v>0.1792</v>
      </c>
      <c r="O52" s="3" t="s">
        <v>142</v>
      </c>
      <c r="P52" s="5">
        <v>273</v>
      </c>
      <c r="Q52" s="5">
        <v>311</v>
      </c>
      <c r="R52" s="5">
        <v>300</v>
      </c>
      <c r="S52" s="5">
        <v>355</v>
      </c>
      <c r="T52" s="7">
        <v>5.92</v>
      </c>
      <c r="U52" s="7">
        <v>12.35264</v>
      </c>
      <c r="V52" s="7">
        <v>14.56567</v>
      </c>
    </row>
    <row r="53" spans="1:22" ht="18" customHeight="1">
      <c r="A53" s="3" t="s">
        <v>219</v>
      </c>
      <c r="B53" s="4">
        <v>0.00247017</v>
      </c>
      <c r="C53" s="4">
        <v>-0.2415242598977483</v>
      </c>
      <c r="D53" s="4">
        <v>0.1102661596958174</v>
      </c>
      <c r="E53" s="4">
        <v>0.3802415209125474</v>
      </c>
      <c r="F53" s="4">
        <v>0.3871787072243347</v>
      </c>
      <c r="G53" s="4">
        <v>0.6730038022813689</v>
      </c>
      <c r="H53" s="15"/>
      <c r="I53" s="6">
        <v>328.75</v>
      </c>
      <c r="J53" s="7">
        <v>20.546875</v>
      </c>
      <c r="K53" s="7">
        <v>13.759507</v>
      </c>
      <c r="L53" s="4">
        <v>-0.1282905044099737</v>
      </c>
      <c r="M53" s="4">
        <v>0.097600006</v>
      </c>
      <c r="N53" s="4">
        <v>0.08840000000000001</v>
      </c>
      <c r="O53" s="3" t="s">
        <v>219</v>
      </c>
      <c r="P53" s="5">
        <v>365</v>
      </c>
      <c r="Q53" s="5">
        <v>453.7544</v>
      </c>
      <c r="R53" s="5">
        <v>456.035</v>
      </c>
      <c r="S53" s="5">
        <v>550</v>
      </c>
      <c r="T53" s="7">
        <v>14.2</v>
      </c>
      <c r="U53" s="7">
        <v>21.95284</v>
      </c>
      <c r="V53" s="7">
        <v>23.89257</v>
      </c>
    </row>
    <row r="54" spans="1:22" ht="18" customHeight="1">
      <c r="A54" s="3" t="s">
        <v>220</v>
      </c>
      <c r="B54" s="4">
        <v>0.00208281</v>
      </c>
      <c r="C54" s="4">
        <v>0.8072305283865635</v>
      </c>
      <c r="D54" s="4">
        <v>-0.1529840785845554</v>
      </c>
      <c r="E54" s="4">
        <v>-0.03570495100395532</v>
      </c>
      <c r="F54" s="4">
        <v>-0.02267393682833319</v>
      </c>
      <c r="G54" s="4">
        <v>0.1076362049278892</v>
      </c>
      <c r="H54" s="15"/>
      <c r="I54" s="6">
        <v>153.4799957275391</v>
      </c>
      <c r="J54" s="7">
        <v>46.50909</v>
      </c>
      <c r="K54" s="7">
        <v>34.97721</v>
      </c>
      <c r="L54" s="4">
        <v>-0.142582622430985</v>
      </c>
      <c r="M54" s="4">
        <v>0.1364</v>
      </c>
      <c r="N54" s="4">
        <v>0.1526</v>
      </c>
      <c r="O54" s="3" t="s">
        <v>220</v>
      </c>
      <c r="P54" s="5">
        <v>130</v>
      </c>
      <c r="Q54" s="5">
        <v>148</v>
      </c>
      <c r="R54" s="5">
        <v>150</v>
      </c>
      <c r="S54" s="5">
        <v>170</v>
      </c>
      <c r="T54" s="7">
        <v>3.3</v>
      </c>
      <c r="U54" s="7">
        <v>3.80697</v>
      </c>
      <c r="V54" s="7">
        <v>4.388</v>
      </c>
    </row>
    <row r="55" spans="1:22" ht="18" customHeight="1">
      <c r="A55" s="3" t="s">
        <v>221</v>
      </c>
      <c r="B55" s="4">
        <v>0.00196906</v>
      </c>
      <c r="C55" s="4">
        <v>0.2155771473427701</v>
      </c>
      <c r="D55" s="4">
        <v>-0.02633182575945869</v>
      </c>
      <c r="E55" s="4">
        <v>0.1556667368187945</v>
      </c>
      <c r="F55" s="4">
        <v>0.1893340890560358</v>
      </c>
      <c r="G55" s="4">
        <v>0.2733803646826622</v>
      </c>
      <c r="H55" s="15"/>
      <c r="I55" s="6">
        <v>630.60498046875</v>
      </c>
      <c r="J55" s="7">
        <v>31.913208</v>
      </c>
      <c r="K55" s="7">
        <v>24.22225</v>
      </c>
      <c r="L55" s="4">
        <v>0.1151554005033244</v>
      </c>
      <c r="M55" s="4">
        <v>0.09689999000000001</v>
      </c>
      <c r="N55" s="4">
        <v>0.0793</v>
      </c>
      <c r="O55" s="3" t="s">
        <v>221</v>
      </c>
      <c r="P55" s="5">
        <v>614</v>
      </c>
      <c r="Q55" s="5">
        <v>728.7692</v>
      </c>
      <c r="R55" s="5">
        <v>750</v>
      </c>
      <c r="S55" s="5">
        <v>803</v>
      </c>
      <c r="T55" s="7">
        <v>18.88</v>
      </c>
      <c r="U55" s="7">
        <v>24.12116</v>
      </c>
      <c r="V55" s="7">
        <v>26.03412</v>
      </c>
    </row>
    <row r="56" spans="1:22" ht="18" customHeight="1">
      <c r="A56" s="3" t="s">
        <v>222</v>
      </c>
      <c r="B56" s="4">
        <v>0.00183773</v>
      </c>
      <c r="C56" s="4">
        <v>-0.4113416427337457</v>
      </c>
      <c r="D56" s="4">
        <v>-0.05068515288578668</v>
      </c>
      <c r="E56" s="4">
        <v>0.4794215032439098</v>
      </c>
      <c r="F56" s="4">
        <v>0.4652468292415031</v>
      </c>
      <c r="G56" s="4">
        <v>1.476473514210991</v>
      </c>
      <c r="H56" s="15"/>
      <c r="I56" s="6">
        <v>121.1399993896484</v>
      </c>
      <c r="J56" s="7">
        <v>46.7722</v>
      </c>
      <c r="K56" s="7">
        <v>9.733287000000001</v>
      </c>
      <c r="L56" s="4">
        <v>-0.1471569174773605</v>
      </c>
      <c r="M56" s="4">
        <v>0.14</v>
      </c>
      <c r="N56" s="4">
        <v>0.18290001</v>
      </c>
      <c r="O56" s="3" t="s">
        <v>222</v>
      </c>
      <c r="P56" s="5">
        <v>115</v>
      </c>
      <c r="Q56" s="5">
        <v>179.21712</v>
      </c>
      <c r="R56" s="5">
        <v>177.5</v>
      </c>
      <c r="S56" s="5">
        <v>300</v>
      </c>
      <c r="T56" s="7">
        <v>2.59</v>
      </c>
      <c r="U56" s="7">
        <v>10.52199</v>
      </c>
      <c r="V56" s="7">
        <v>12.44595</v>
      </c>
    </row>
    <row r="57" spans="1:22" ht="18" customHeight="1">
      <c r="A57" s="3" t="s">
        <v>223</v>
      </c>
      <c r="B57" s="4">
        <v>0.00180287</v>
      </c>
      <c r="C57" s="4">
        <v>-0.3301252861086754</v>
      </c>
      <c r="D57" s="4">
        <v>-0.3577310936763769</v>
      </c>
      <c r="E57" s="4">
        <v>0.4190059380340581</v>
      </c>
      <c r="F57" s="4">
        <v>0.4076317826710807</v>
      </c>
      <c r="G57" s="4">
        <v>1.180262199684152</v>
      </c>
      <c r="H57" s="15"/>
      <c r="I57" s="6">
        <v>1100.785034179688</v>
      </c>
      <c r="J57" s="7">
        <v>34.912308</v>
      </c>
      <c r="K57" s="7">
        <v>20.261374</v>
      </c>
      <c r="L57" s="4">
        <v>-0.1529620636629521</v>
      </c>
      <c r="M57" s="4">
        <v>0.4449</v>
      </c>
      <c r="N57" s="4">
        <v>0.2584</v>
      </c>
      <c r="O57" s="3" t="s">
        <v>223</v>
      </c>
      <c r="P57" s="5">
        <v>707</v>
      </c>
      <c r="Q57" s="5">
        <v>1562.0205</v>
      </c>
      <c r="R57" s="5">
        <v>1549.5</v>
      </c>
      <c r="S57" s="5">
        <v>2400</v>
      </c>
      <c r="T57" s="7">
        <v>26.54</v>
      </c>
      <c r="U57" s="7">
        <v>43.1726</v>
      </c>
      <c r="V57" s="7">
        <v>54.32924</v>
      </c>
    </row>
    <row r="58" spans="1:22" ht="18" customHeight="1">
      <c r="A58" s="3" t="s">
        <v>224</v>
      </c>
      <c r="B58" s="4">
        <v>0.00166819</v>
      </c>
      <c r="C58" s="4">
        <v>-0.3890079657768024</v>
      </c>
      <c r="D58" s="4">
        <v>0.1131349963539956</v>
      </c>
      <c r="E58" s="4">
        <v>0.4732068452700573</v>
      </c>
      <c r="F58" s="4">
        <v>0.477433722433485</v>
      </c>
      <c r="G58" s="4">
        <v>0.8822100847440288</v>
      </c>
      <c r="H58" s="15"/>
      <c r="I58" s="6">
        <v>49.40999984741211</v>
      </c>
      <c r="J58" s="7">
        <v>10.718004</v>
      </c>
      <c r="K58" s="7">
        <v>8.021350999999999</v>
      </c>
      <c r="L58" s="4">
        <v>0.1038102415474702</v>
      </c>
      <c r="M58" s="4">
        <v>0.0771</v>
      </c>
      <c r="N58" s="4">
        <v>0.0832</v>
      </c>
      <c r="O58" s="3" t="s">
        <v>224</v>
      </c>
      <c r="P58" s="5">
        <v>55</v>
      </c>
      <c r="Q58" s="5">
        <v>72.79115</v>
      </c>
      <c r="R58" s="5">
        <v>73</v>
      </c>
      <c r="S58" s="5">
        <v>93</v>
      </c>
      <c r="T58" s="7">
        <v>4.56</v>
      </c>
      <c r="U58" s="7">
        <v>5.68697</v>
      </c>
      <c r="V58" s="7">
        <v>6.16017</v>
      </c>
    </row>
    <row r="59" spans="1:22" ht="18" customHeight="1">
      <c r="A59" s="3" t="s">
        <v>225</v>
      </c>
      <c r="B59" s="4">
        <v>0.00160543</v>
      </c>
      <c r="C59" s="4">
        <v>0.190083993889316</v>
      </c>
      <c r="D59" s="9" t="s">
        <v>79</v>
      </c>
      <c r="E59" s="9" t="s">
        <v>79</v>
      </c>
      <c r="F59" s="9" t="s">
        <v>79</v>
      </c>
      <c r="G59" s="9" t="s">
        <v>79</v>
      </c>
      <c r="H59" s="15"/>
      <c r="I59" s="6">
        <v>285.1900024414062</v>
      </c>
      <c r="J59" s="7">
        <v>31.512707</v>
      </c>
      <c r="K59" s="7">
        <v>26.772875</v>
      </c>
      <c r="L59" s="4">
        <v>0.1948786034853058</v>
      </c>
      <c r="M59" s="4">
        <v>0.1009</v>
      </c>
      <c r="N59" s="4">
        <v>0.0983</v>
      </c>
      <c r="O59" s="3" t="s">
        <v>225</v>
      </c>
      <c r="P59" s="9" t="s">
        <v>79</v>
      </c>
      <c r="Q59" s="9" t="s">
        <v>79</v>
      </c>
      <c r="R59" s="9" t="s">
        <v>79</v>
      </c>
      <c r="S59" s="9" t="s">
        <v>79</v>
      </c>
      <c r="T59" s="7">
        <v>8.81</v>
      </c>
      <c r="U59" s="7">
        <v>9.45726</v>
      </c>
      <c r="V59" s="7">
        <v>10.3108</v>
      </c>
    </row>
    <row r="60" spans="1:22" ht="18" customHeight="1">
      <c r="A60" s="3" t="s">
        <v>226</v>
      </c>
      <c r="B60" s="4">
        <v>0.00159301</v>
      </c>
      <c r="C60" s="4">
        <v>-0.1387329520545637</v>
      </c>
      <c r="D60" s="4">
        <v>-0.3651599764053192</v>
      </c>
      <c r="E60" s="4">
        <v>0.04200745417293783</v>
      </c>
      <c r="F60" s="4">
        <v>0.03690537187131215</v>
      </c>
      <c r="G60" s="4">
        <v>0.3246995159009007</v>
      </c>
      <c r="H60" s="15"/>
      <c r="I60" s="6">
        <v>236.2799987792969</v>
      </c>
      <c r="J60" s="7">
        <v>15.263566</v>
      </c>
      <c r="K60" s="7">
        <v>9.854938000000001</v>
      </c>
      <c r="L60" s="4">
        <v>0.4009224501325559</v>
      </c>
      <c r="M60" s="4">
        <v>0.2288</v>
      </c>
      <c r="N60" s="4">
        <v>0.3731</v>
      </c>
      <c r="O60" s="3" t="s">
        <v>226</v>
      </c>
      <c r="P60" s="5">
        <v>150</v>
      </c>
      <c r="Q60" s="5">
        <v>246.20552</v>
      </c>
      <c r="R60" s="5">
        <v>245</v>
      </c>
      <c r="S60" s="5">
        <v>313</v>
      </c>
      <c r="T60" s="7">
        <v>14.21</v>
      </c>
      <c r="U60" s="7">
        <v>17.3941</v>
      </c>
      <c r="V60" s="7">
        <v>23.31635</v>
      </c>
    </row>
    <row r="61" spans="1:22" ht="18" customHeight="1">
      <c r="A61" s="3" t="s">
        <v>227</v>
      </c>
      <c r="B61" s="4">
        <v>0.00157742</v>
      </c>
      <c r="C61" s="4">
        <v>0.1098163945572352</v>
      </c>
      <c r="D61" s="4">
        <v>-0.2517006705628048</v>
      </c>
      <c r="E61" s="4">
        <v>-0.003968269389253321</v>
      </c>
      <c r="F61" s="4">
        <v>-0.02210883084911985</v>
      </c>
      <c r="G61" s="4">
        <v>0.164966001510179</v>
      </c>
      <c r="H61" s="15"/>
      <c r="I61" s="6">
        <v>117.5999984741211</v>
      </c>
      <c r="J61" s="7">
        <v>19.731543</v>
      </c>
      <c r="K61" s="7">
        <v>13.787169</v>
      </c>
      <c r="L61" s="4">
        <v>-0.05744251411259704</v>
      </c>
      <c r="M61" s="4">
        <v>0.1004</v>
      </c>
      <c r="N61" s="4">
        <v>0.0692</v>
      </c>
      <c r="O61" s="3" t="s">
        <v>227</v>
      </c>
      <c r="P61" s="5">
        <v>88</v>
      </c>
      <c r="Q61" s="5">
        <v>117.13333</v>
      </c>
      <c r="R61" s="5">
        <v>115</v>
      </c>
      <c r="S61" s="5">
        <v>137</v>
      </c>
      <c r="T61" s="7">
        <v>5.67</v>
      </c>
      <c r="U61" s="7">
        <v>7.9778</v>
      </c>
      <c r="V61" s="7">
        <v>8.529669999999999</v>
      </c>
    </row>
    <row r="62" spans="1:22" ht="18" customHeight="1">
      <c r="A62" s="3" t="s">
        <v>228</v>
      </c>
      <c r="B62" s="4">
        <v>0.0014343</v>
      </c>
      <c r="C62" s="4">
        <v>0.8118684513055006</v>
      </c>
      <c r="D62" s="4">
        <v>-0.43576108293363</v>
      </c>
      <c r="E62" s="4">
        <v>-0.04027778937072324</v>
      </c>
      <c r="F62" s="4">
        <v>-0.02717428092005181</v>
      </c>
      <c r="G62" s="4">
        <v>0.2646734348039326</v>
      </c>
      <c r="H62" s="15"/>
      <c r="I62" s="6">
        <v>154.1900024414062</v>
      </c>
      <c r="J62" s="7">
        <v>52.33051</v>
      </c>
      <c r="K62" s="7">
        <v>21.284472</v>
      </c>
      <c r="L62" s="4">
        <v>-0.08562144545926287</v>
      </c>
      <c r="M62" s="4">
        <v>-0.0529</v>
      </c>
      <c r="N62" s="4">
        <v>0.0756</v>
      </c>
      <c r="O62" s="3" t="s">
        <v>228</v>
      </c>
      <c r="P62" s="5">
        <v>87</v>
      </c>
      <c r="Q62" s="5">
        <v>147.97957</v>
      </c>
      <c r="R62" s="5">
        <v>150</v>
      </c>
      <c r="S62" s="5">
        <v>195</v>
      </c>
      <c r="T62" s="7">
        <v>3.07</v>
      </c>
      <c r="U62" s="7">
        <v>6.74324</v>
      </c>
      <c r="V62" s="7">
        <v>7.25294</v>
      </c>
    </row>
    <row r="63" spans="1:22" ht="18" customHeight="1">
      <c r="A63" s="3" t="s">
        <v>229</v>
      </c>
      <c r="B63" s="4">
        <v>0.00140522</v>
      </c>
      <c r="C63" s="4">
        <v>-0.001921909133208777</v>
      </c>
      <c r="D63" s="4">
        <v>-0.2635213017695893</v>
      </c>
      <c r="E63" s="4">
        <v>-0.1055811434381458</v>
      </c>
      <c r="F63" s="4">
        <v>-0.1024165865316869</v>
      </c>
      <c r="G63" s="4">
        <v>0.2151898520801776</v>
      </c>
      <c r="H63" s="15"/>
      <c r="I63" s="6">
        <v>21.72500038146973</v>
      </c>
      <c r="J63" s="7">
        <v>8.229165999999999</v>
      </c>
      <c r="K63" s="7">
        <v>7.304903</v>
      </c>
      <c r="L63" s="4">
        <v>-0.2834204820042467</v>
      </c>
      <c r="M63" s="4">
        <v>-0.074499995</v>
      </c>
      <c r="N63" s="4">
        <v>0.03</v>
      </c>
      <c r="O63" s="3" t="s">
        <v>229</v>
      </c>
      <c r="P63" s="5">
        <v>16</v>
      </c>
      <c r="Q63" s="5">
        <v>19.43125</v>
      </c>
      <c r="R63" s="5">
        <v>19.5</v>
      </c>
      <c r="S63" s="5">
        <v>26.4</v>
      </c>
      <c r="T63" s="7">
        <v>2.65</v>
      </c>
      <c r="U63" s="7">
        <v>2.8875</v>
      </c>
      <c r="V63" s="7">
        <v>2.97403</v>
      </c>
    </row>
    <row r="64" spans="1:22" ht="18" customHeight="1">
      <c r="A64" s="3" t="s">
        <v>230</v>
      </c>
      <c r="B64" s="4">
        <v>0.00135073</v>
      </c>
      <c r="C64" s="4">
        <v>0.3967773828159746</v>
      </c>
      <c r="D64" s="4">
        <v>-0.302562359668557</v>
      </c>
      <c r="E64" s="4">
        <v>-0.05873816060868464</v>
      </c>
      <c r="F64" s="4">
        <v>-0.02916680465863142</v>
      </c>
      <c r="G64" s="4">
        <v>0.04615646049716449</v>
      </c>
      <c r="H64" s="15"/>
      <c r="I64" s="6">
        <v>358.4549865722656</v>
      </c>
      <c r="J64" s="7">
        <v>29.429802</v>
      </c>
      <c r="K64" s="7">
        <v>20.505651</v>
      </c>
      <c r="L64" s="4">
        <v>0.01394238135783898</v>
      </c>
      <c r="M64" s="4">
        <v>0.043</v>
      </c>
      <c r="N64" s="4">
        <v>0.060100004</v>
      </c>
      <c r="O64" s="3" t="s">
        <v>230</v>
      </c>
      <c r="P64" s="5">
        <v>250</v>
      </c>
      <c r="Q64" s="5">
        <v>337.4</v>
      </c>
      <c r="R64" s="5">
        <v>348</v>
      </c>
      <c r="S64" s="5">
        <v>375</v>
      </c>
      <c r="T64" s="7">
        <v>11.8</v>
      </c>
      <c r="U64" s="7">
        <v>16.49033</v>
      </c>
      <c r="V64" s="7">
        <v>17.48079</v>
      </c>
    </row>
    <row r="65" spans="1:22" ht="18" customHeight="1">
      <c r="A65" s="3" t="s">
        <v>231</v>
      </c>
      <c r="B65" s="4">
        <v>0.00120115</v>
      </c>
      <c r="C65" s="4">
        <v>0.1143379146665997</v>
      </c>
      <c r="D65" s="4">
        <v>-0.5652161413684431</v>
      </c>
      <c r="E65" s="4">
        <v>0.06522045364731444</v>
      </c>
      <c r="F65" s="4">
        <v>-0.01448992043513764</v>
      </c>
      <c r="G65" s="4">
        <v>0.6811642533753535</v>
      </c>
      <c r="H65" s="15"/>
      <c r="I65" s="6">
        <v>34.49990081787109</v>
      </c>
      <c r="J65" s="7">
        <v>18.157843</v>
      </c>
      <c r="K65" s="7">
        <v>10.682936</v>
      </c>
      <c r="L65" s="4">
        <v>-0.02595669880533324</v>
      </c>
      <c r="M65" s="4">
        <v>0.2548</v>
      </c>
      <c r="N65" s="4">
        <v>0.24270001</v>
      </c>
      <c r="O65" s="3" t="s">
        <v>231</v>
      </c>
      <c r="P65" s="5">
        <v>15</v>
      </c>
      <c r="Q65" s="5">
        <v>36.75</v>
      </c>
      <c r="R65" s="5">
        <v>34</v>
      </c>
      <c r="S65" s="5">
        <v>58</v>
      </c>
      <c r="T65" s="7">
        <v>1.68</v>
      </c>
      <c r="U65" s="7">
        <v>2.58482</v>
      </c>
      <c r="V65" s="7">
        <v>3.21225</v>
      </c>
    </row>
    <row r="66" spans="1:22" ht="18" customHeight="1">
      <c r="A66" s="3" t="s">
        <v>232</v>
      </c>
      <c r="B66" s="4">
        <v>0.00117782</v>
      </c>
      <c r="C66" s="4">
        <v>-0.1486478703987935</v>
      </c>
      <c r="D66" s="4">
        <v>0.07033109406406091</v>
      </c>
      <c r="E66" s="4">
        <v>0.2698597306892003</v>
      </c>
      <c r="F66" s="4">
        <v>0.2774919509796856</v>
      </c>
      <c r="G66" s="4">
        <v>0.5882332363531226</v>
      </c>
      <c r="H66" s="15"/>
      <c r="I66" s="6">
        <v>144.8150024414062</v>
      </c>
      <c r="J66" s="7">
        <v>13.911143</v>
      </c>
      <c r="K66" s="7">
        <v>16.817892</v>
      </c>
      <c r="L66" s="4">
        <v>-0.0480847388509158</v>
      </c>
      <c r="M66" s="4">
        <v>-0.0001</v>
      </c>
      <c r="N66" s="4">
        <v>0.0764</v>
      </c>
      <c r="O66" s="3" t="s">
        <v>232</v>
      </c>
      <c r="P66" s="5">
        <v>155</v>
      </c>
      <c r="Q66" s="5">
        <v>183.89474</v>
      </c>
      <c r="R66" s="5">
        <v>185</v>
      </c>
      <c r="S66" s="5">
        <v>230</v>
      </c>
      <c r="T66" s="7">
        <v>6.14</v>
      </c>
      <c r="U66" s="7">
        <v>7.99926</v>
      </c>
      <c r="V66" s="7">
        <v>8.61077</v>
      </c>
    </row>
    <row r="67" spans="1:22" ht="18" customHeight="1">
      <c r="A67" s="3" t="s">
        <v>233</v>
      </c>
      <c r="B67" s="4">
        <v>0.00097634</v>
      </c>
      <c r="C67" s="4">
        <v>-0.2619685941284929</v>
      </c>
      <c r="D67" s="4">
        <v>0.2108631436971549</v>
      </c>
      <c r="E67" s="4">
        <v>0.5106958644763007</v>
      </c>
      <c r="F67" s="4">
        <v>0.5135789296214437</v>
      </c>
      <c r="G67" s="4">
        <v>0.7816986257258136</v>
      </c>
      <c r="H67" s="15"/>
      <c r="I67" s="6">
        <v>57.81000137329102</v>
      </c>
      <c r="J67" s="7">
        <v>30.267017</v>
      </c>
      <c r="K67" s="7">
        <v>14.222522</v>
      </c>
      <c r="L67" s="4">
        <v>0.1239420384897543</v>
      </c>
      <c r="M67" s="4">
        <v>0.1424</v>
      </c>
      <c r="N67" s="4">
        <v>0.1368</v>
      </c>
      <c r="O67" s="3" t="s">
        <v>233</v>
      </c>
      <c r="P67" s="5">
        <v>70</v>
      </c>
      <c r="Q67" s="5">
        <v>87.33333</v>
      </c>
      <c r="R67" s="5">
        <v>87.5</v>
      </c>
      <c r="S67" s="5">
        <v>103</v>
      </c>
      <c r="T67" s="7">
        <v>1.76</v>
      </c>
      <c r="U67" s="7">
        <v>3.57566</v>
      </c>
      <c r="V67" s="7">
        <v>4.06468</v>
      </c>
    </row>
    <row r="68" spans="1:22" ht="18" customHeight="1">
      <c r="A68" s="3" t="s">
        <v>234</v>
      </c>
      <c r="B68" s="4">
        <v>0.00094285</v>
      </c>
      <c r="C68" s="4">
        <v>-0.284537510196042</v>
      </c>
      <c r="D68" s="4">
        <v>0.07433773372880315</v>
      </c>
      <c r="E68" s="4">
        <v>0.4275634646405391</v>
      </c>
      <c r="F68" s="4">
        <v>0.4110704562408163</v>
      </c>
      <c r="G68" s="4">
        <v>1.084535901264842</v>
      </c>
      <c r="H68" s="15"/>
      <c r="I68" s="6">
        <v>311.8200073242188</v>
      </c>
      <c r="J68" s="7">
        <v>43.06906</v>
      </c>
      <c r="K68" s="7">
        <v>21.714909</v>
      </c>
      <c r="L68" s="4">
        <v>-0.2100683423411004</v>
      </c>
      <c r="M68" s="4">
        <v>0.1189</v>
      </c>
      <c r="N68" s="4">
        <v>0.1347</v>
      </c>
      <c r="O68" s="3" t="s">
        <v>234</v>
      </c>
      <c r="P68" s="5">
        <v>335</v>
      </c>
      <c r="Q68" s="5">
        <v>445.14285</v>
      </c>
      <c r="R68" s="5">
        <v>440</v>
      </c>
      <c r="S68" s="5">
        <v>650</v>
      </c>
      <c r="T68" s="7">
        <v>7.2</v>
      </c>
      <c r="U68" s="7">
        <v>12.65486</v>
      </c>
      <c r="V68" s="7">
        <v>14.35972</v>
      </c>
    </row>
    <row r="69" spans="1:22" ht="18" customHeight="1">
      <c r="A69" s="3" t="s">
        <v>235</v>
      </c>
      <c r="B69" s="4">
        <v>0.0009208199999999999</v>
      </c>
      <c r="C69" s="4">
        <v>-0.2220645638011018</v>
      </c>
      <c r="D69" s="4">
        <v>0.1933637369184604</v>
      </c>
      <c r="E69" s="4">
        <v>0.4291258410413759</v>
      </c>
      <c r="F69" s="4">
        <v>0.4019598372741262</v>
      </c>
      <c r="G69" s="4">
        <v>0.8919181195048762</v>
      </c>
      <c r="H69" s="15"/>
      <c r="I69" s="6">
        <v>103.0699996948242</v>
      </c>
      <c r="J69" s="7">
        <v>12.554202</v>
      </c>
      <c r="K69" s="7">
        <v>9.008528999999999</v>
      </c>
      <c r="L69" s="4">
        <v>-0.1868865168568129</v>
      </c>
      <c r="M69" s="4">
        <v>0.059699997</v>
      </c>
      <c r="N69" s="4">
        <v>0.0775</v>
      </c>
      <c r="O69" s="3" t="s">
        <v>235</v>
      </c>
      <c r="P69" s="5">
        <v>123</v>
      </c>
      <c r="Q69" s="5">
        <v>147.3</v>
      </c>
      <c r="R69" s="5">
        <v>144.5</v>
      </c>
      <c r="S69" s="5">
        <v>195</v>
      </c>
      <c r="T69" s="7">
        <v>8.08</v>
      </c>
      <c r="U69" s="7">
        <v>10.61829</v>
      </c>
      <c r="V69" s="7">
        <v>11.44138</v>
      </c>
    </row>
    <row r="70" spans="1:22" ht="18" customHeight="1">
      <c r="A70" s="3" t="s">
        <v>236</v>
      </c>
      <c r="B70" s="4">
        <v>0.00084368</v>
      </c>
      <c r="C70" s="4">
        <v>-0.1408173606257124</v>
      </c>
      <c r="D70" s="4">
        <v>-0.01278886467864193</v>
      </c>
      <c r="E70" s="4">
        <v>0.3465461164669792</v>
      </c>
      <c r="F70" s="4">
        <v>0.2115773024398486</v>
      </c>
      <c r="G70" s="4">
        <v>1.064168737490113</v>
      </c>
      <c r="H70" s="15"/>
      <c r="I70" s="6">
        <v>22.28499984741211</v>
      </c>
      <c r="J70" s="7">
        <v>14.194267</v>
      </c>
      <c r="K70" s="7">
        <v>6.774874</v>
      </c>
      <c r="L70" s="4">
        <v>0.006906532834026757</v>
      </c>
      <c r="M70" s="4">
        <v>0.1258</v>
      </c>
      <c r="N70" s="4">
        <v>0.14130001</v>
      </c>
      <c r="O70" s="3" t="s">
        <v>236</v>
      </c>
      <c r="P70" s="5">
        <v>22</v>
      </c>
      <c r="Q70" s="5">
        <v>30.00778</v>
      </c>
      <c r="R70" s="5">
        <v>27</v>
      </c>
      <c r="S70" s="5">
        <v>46</v>
      </c>
      <c r="T70" s="7">
        <v>1.03</v>
      </c>
      <c r="U70" s="7">
        <v>2.88217</v>
      </c>
      <c r="V70" s="7">
        <v>3.28936</v>
      </c>
    </row>
    <row r="71" spans="1:22" ht="18" customHeight="1">
      <c r="A71" s="3" t="s">
        <v>237</v>
      </c>
      <c r="B71" s="4">
        <v>0.0008302299999999999</v>
      </c>
      <c r="C71" s="4">
        <v>-0.259534216824798</v>
      </c>
      <c r="D71" s="4">
        <v>-0.05423885620286883</v>
      </c>
      <c r="E71" s="4">
        <v>0.3050743757071599</v>
      </c>
      <c r="F71" s="4">
        <v>0.139471257586905</v>
      </c>
      <c r="G71" s="4">
        <v>1.164995389415119</v>
      </c>
      <c r="H71" s="15"/>
      <c r="I71" s="6">
        <v>87.76000213623047</v>
      </c>
      <c r="J71" s="7">
        <v>13.908083</v>
      </c>
      <c r="K71" s="7">
        <v>8.146043000000001</v>
      </c>
      <c r="L71" s="4">
        <v>-0.3762002938684232</v>
      </c>
      <c r="M71" s="4">
        <v>0.1703</v>
      </c>
      <c r="N71" s="4">
        <v>0.14770001</v>
      </c>
      <c r="O71" s="3" t="s">
        <v>237</v>
      </c>
      <c r="P71" s="5">
        <v>83</v>
      </c>
      <c r="Q71" s="5">
        <v>114.53333</v>
      </c>
      <c r="R71" s="5">
        <v>100</v>
      </c>
      <c r="S71" s="5">
        <v>190</v>
      </c>
      <c r="T71" s="7">
        <v>6.22</v>
      </c>
      <c r="U71" s="7">
        <v>7.11744</v>
      </c>
      <c r="V71" s="7">
        <v>8.98147</v>
      </c>
    </row>
    <row r="72" spans="1:22" ht="18" customHeight="1">
      <c r="A72" s="3" t="s">
        <v>238</v>
      </c>
      <c r="B72" s="4">
        <v>0.00075435</v>
      </c>
      <c r="C72" s="4">
        <v>-0.3518120061557881</v>
      </c>
      <c r="D72" s="4">
        <v>-0.08877896019158305</v>
      </c>
      <c r="E72" s="4">
        <v>0.08695652605718318</v>
      </c>
      <c r="F72" s="4">
        <v>0.08695652605718318</v>
      </c>
      <c r="G72" s="4">
        <v>0.3212705077222047</v>
      </c>
      <c r="H72" s="15"/>
      <c r="I72" s="6">
        <v>153.6399993896484</v>
      </c>
      <c r="J72" s="7">
        <v>15.181818</v>
      </c>
      <c r="K72" s="7">
        <v>10.017826</v>
      </c>
      <c r="L72" s="4">
        <v>-0.4780053690227568</v>
      </c>
      <c r="M72" s="4">
        <v>0.0397</v>
      </c>
      <c r="N72" s="4">
        <v>0.1201</v>
      </c>
      <c r="O72" s="3" t="s">
        <v>238</v>
      </c>
      <c r="P72" s="5">
        <v>140</v>
      </c>
      <c r="Q72" s="5">
        <v>167</v>
      </c>
      <c r="R72" s="5">
        <v>167</v>
      </c>
      <c r="S72" s="5">
        <v>203</v>
      </c>
      <c r="T72" s="7">
        <v>9.65</v>
      </c>
      <c r="U72" s="7">
        <v>13.69235</v>
      </c>
      <c r="V72" s="7">
        <v>15.33666</v>
      </c>
    </row>
    <row r="73" spans="1:22" ht="18" customHeight="1">
      <c r="A73" s="3" t="s">
        <v>239</v>
      </c>
      <c r="B73" s="4">
        <v>0.0007503999999999999</v>
      </c>
      <c r="C73" s="4">
        <v>-0.1172573706617921</v>
      </c>
      <c r="D73" s="4">
        <v>0.1679631491729476</v>
      </c>
      <c r="E73" s="4">
        <v>0.4841971559346134</v>
      </c>
      <c r="F73" s="4">
        <v>0.5055774969807529</v>
      </c>
      <c r="G73" s="4">
        <v>0.8249424205827307</v>
      </c>
      <c r="H73" s="15"/>
      <c r="I73" s="6">
        <v>219.1849975585938</v>
      </c>
      <c r="J73" s="7">
        <v>26.79523</v>
      </c>
      <c r="K73" s="7">
        <v>10.931244</v>
      </c>
      <c r="L73" s="4">
        <v>-0.3672607850085343</v>
      </c>
      <c r="M73" s="4">
        <v>0.134</v>
      </c>
      <c r="N73" s="4">
        <v>0.1163</v>
      </c>
      <c r="O73" s="3" t="s">
        <v>239</v>
      </c>
      <c r="P73" s="5">
        <v>256</v>
      </c>
      <c r="Q73" s="5">
        <v>325.31375</v>
      </c>
      <c r="R73" s="5">
        <v>330</v>
      </c>
      <c r="S73" s="5">
        <v>400</v>
      </c>
      <c r="T73" s="7">
        <v>8.18</v>
      </c>
      <c r="U73" s="7">
        <v>17.96205</v>
      </c>
      <c r="V73" s="7">
        <v>20.05124</v>
      </c>
    </row>
    <row r="74" spans="1:22" ht="18" customHeight="1">
      <c r="A74" s="3" t="s">
        <v>196</v>
      </c>
      <c r="B74" s="4">
        <v>0.0006778000000000001</v>
      </c>
      <c r="C74" s="4">
        <v>0.08336386603465584</v>
      </c>
      <c r="D74" s="4">
        <v>-0.202204844034553</v>
      </c>
      <c r="E74" s="4">
        <v>0.07568737124760849</v>
      </c>
      <c r="F74" s="4">
        <v>0.04438638599113065</v>
      </c>
      <c r="G74" s="4">
        <v>0.5375688460424979</v>
      </c>
      <c r="H74" s="15"/>
      <c r="I74" s="6">
        <v>68.94000244140625</v>
      </c>
      <c r="J74" s="7">
        <v>28.725</v>
      </c>
      <c r="K74" s="7">
        <v>13.39684</v>
      </c>
      <c r="L74" s="4">
        <v>-0.2529396653723179</v>
      </c>
      <c r="M74" s="4">
        <v>-0.155</v>
      </c>
      <c r="N74" s="4">
        <v>0.027</v>
      </c>
      <c r="O74" s="3" t="s">
        <v>196</v>
      </c>
      <c r="P74" s="5">
        <v>55</v>
      </c>
      <c r="Q74" s="5">
        <v>74.15788999999999</v>
      </c>
      <c r="R74" s="5">
        <v>72</v>
      </c>
      <c r="S74" s="5">
        <v>106</v>
      </c>
      <c r="T74" s="7">
        <v>3.08</v>
      </c>
      <c r="U74" s="7">
        <v>5.01067</v>
      </c>
      <c r="V74" s="7">
        <v>5.14599</v>
      </c>
    </row>
    <row r="75" spans="1:22" ht="18" customHeight="1">
      <c r="A75" s="3" t="s">
        <v>240</v>
      </c>
      <c r="B75" s="4">
        <v>0.00037001</v>
      </c>
      <c r="C75" s="4">
        <v>-0.5124214576961391</v>
      </c>
      <c r="D75" s="4">
        <v>0.1254348516900781</v>
      </c>
      <c r="E75" s="4">
        <v>0.5130177330893655</v>
      </c>
      <c r="F75" s="4">
        <v>0.4528340812726461</v>
      </c>
      <c r="G75" s="4">
        <v>1.404338092246985</v>
      </c>
      <c r="H75" s="15"/>
      <c r="I75" s="6">
        <v>97.73999786376953</v>
      </c>
      <c r="J75" s="7">
        <v>14.043103</v>
      </c>
      <c r="K75" s="7">
        <v>6.928721</v>
      </c>
      <c r="L75" s="4">
        <v>-0.1059521661340918</v>
      </c>
      <c r="M75" s="4">
        <v>0.1356</v>
      </c>
      <c r="N75" s="4">
        <v>0.08019999999999999</v>
      </c>
      <c r="O75" s="3" t="s">
        <v>240</v>
      </c>
      <c r="P75" s="5">
        <v>110</v>
      </c>
      <c r="Q75" s="5">
        <v>147.88235</v>
      </c>
      <c r="R75" s="5">
        <v>142</v>
      </c>
      <c r="S75" s="5">
        <v>235</v>
      </c>
      <c r="T75" s="7">
        <v>6.72</v>
      </c>
      <c r="U75" s="7">
        <v>13.05906</v>
      </c>
      <c r="V75" s="7">
        <v>14.1065</v>
      </c>
    </row>
    <row r="76" spans="1:22" ht="18" customHeight="1">
      <c r="A76" s="3" t="s">
        <v>241</v>
      </c>
      <c r="B76" s="4">
        <v>0.00019127</v>
      </c>
      <c r="C76" s="9" t="s">
        <v>79</v>
      </c>
      <c r="D76" s="9" t="s">
        <v>79</v>
      </c>
      <c r="E76" s="9" t="s">
        <v>79</v>
      </c>
      <c r="F76" s="9" t="s">
        <v>79</v>
      </c>
      <c r="G76" s="9" t="s">
        <v>79</v>
      </c>
      <c r="H76" s="15"/>
      <c r="I76" s="9" t="s">
        <v>79</v>
      </c>
      <c r="J76" s="9" t="s">
        <v>79</v>
      </c>
      <c r="K76" s="9" t="s">
        <v>79</v>
      </c>
      <c r="L76" s="9" t="s">
        <v>79</v>
      </c>
      <c r="M76" s="9" t="s">
        <v>79</v>
      </c>
      <c r="N76" s="9" t="s">
        <v>79</v>
      </c>
      <c r="O76" s="3" t="s">
        <v>241</v>
      </c>
      <c r="P76" s="9" t="s">
        <v>79</v>
      </c>
      <c r="Q76" s="9" t="s">
        <v>79</v>
      </c>
      <c r="R76" s="9" t="s">
        <v>79</v>
      </c>
      <c r="S76" s="9" t="s">
        <v>79</v>
      </c>
      <c r="T76" s="9" t="s">
        <v>79</v>
      </c>
      <c r="U76" s="9" t="s">
        <v>79</v>
      </c>
      <c r="V76" s="9" t="s">
        <v>79</v>
      </c>
    </row>
    <row r="79" spans="1:22" ht="18" customHeight="1">
      <c r="A79" s="16" t="s">
        <v>171</v>
      </c>
      <c r="B79" s="17">
        <f>SUM(B3:B76)</f>
        <v>0</v>
      </c>
      <c r="C79" s="17">
        <f>SUMPRODUCT(B3:B76,C3:C76)</f>
        <v>0</v>
      </c>
      <c r="D79" s="17">
        <f>SUMPRODUCT(B3:B76,D3:D76)</f>
        <v>0</v>
      </c>
      <c r="E79" s="17">
        <f>SUMPRODUCT(B3:B76,E3:E76)</f>
        <v>0</v>
      </c>
      <c r="F79" s="17">
        <f>SUMPRODUCT(B3:B76,F3:F76)</f>
        <v>0</v>
      </c>
      <c r="G79" s="17">
        <f>SUMPRODUCT(B3:B76,G3:G76)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76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76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0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8" customHeight="1"/>
  <cols>
    <col min="1" max="1" width="11.7109375" customWidth="1"/>
    <col min="2" max="2" width="14.7109375" customWidth="1"/>
    <col min="3" max="7" width="11.7109375" customWidth="1"/>
    <col min="8" max="8" width="3.7109375" customWidth="1"/>
    <col min="9" max="9" width="12.7109375" customWidth="1"/>
    <col min="10" max="15" width="11.7109375" customWidth="1"/>
    <col min="16" max="19" width="12.7109375" customWidth="1"/>
    <col min="20" max="22" width="11.7109375" customWidth="1"/>
  </cols>
  <sheetData>
    <row r="1" spans="1:22" ht="18" customHeight="1">
      <c r="A1" s="2" t="s">
        <v>0</v>
      </c>
      <c r="B1" s="2" t="s">
        <v>56</v>
      </c>
      <c r="C1" s="2" t="s">
        <v>2</v>
      </c>
      <c r="D1" s="2" t="s">
        <v>57</v>
      </c>
      <c r="E1" s="2"/>
      <c r="F1" s="2"/>
      <c r="G1" s="2"/>
      <c r="H1" s="15"/>
      <c r="I1" s="2" t="s">
        <v>58</v>
      </c>
      <c r="J1" s="2" t="s">
        <v>59</v>
      </c>
      <c r="K1" s="2"/>
      <c r="L1" s="2" t="s">
        <v>60</v>
      </c>
      <c r="M1" s="2"/>
      <c r="N1" s="2"/>
      <c r="O1" s="15"/>
      <c r="P1" s="2" t="s">
        <v>61</v>
      </c>
      <c r="Q1" s="2"/>
      <c r="R1" s="2"/>
      <c r="S1" s="2"/>
      <c r="T1" s="2" t="s">
        <v>62</v>
      </c>
      <c r="U1" s="2"/>
      <c r="V1" s="2"/>
    </row>
    <row r="2" spans="1:22" ht="18" customHeight="1">
      <c r="A2" s="2" t="s">
        <v>20</v>
      </c>
      <c r="B2" s="2" t="s">
        <v>63</v>
      </c>
      <c r="C2" s="2" t="s">
        <v>2</v>
      </c>
      <c r="D2" s="2" t="s">
        <v>64</v>
      </c>
      <c r="E2" s="2" t="s">
        <v>3</v>
      </c>
      <c r="F2" s="2" t="s">
        <v>4</v>
      </c>
      <c r="G2" s="2" t="s">
        <v>65</v>
      </c>
      <c r="H2" s="15"/>
      <c r="I2" s="2" t="s">
        <v>66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70</v>
      </c>
      <c r="O2" s="15"/>
      <c r="P2" s="2" t="s">
        <v>64</v>
      </c>
      <c r="Q2" s="2" t="s">
        <v>3</v>
      </c>
      <c r="R2" s="2" t="s">
        <v>4</v>
      </c>
      <c r="S2" s="2" t="s">
        <v>65</v>
      </c>
      <c r="T2" s="2" t="s">
        <v>68</v>
      </c>
      <c r="U2" s="2" t="s">
        <v>69</v>
      </c>
      <c r="V2" s="2" t="s">
        <v>70</v>
      </c>
    </row>
    <row r="3" spans="1:22" ht="18" customHeight="1">
      <c r="A3" s="3" t="s">
        <v>72</v>
      </c>
      <c r="B3" s="4">
        <v>0.08644815</v>
      </c>
      <c r="C3" s="4">
        <v>0.1697752323808619</v>
      </c>
      <c r="D3" s="4">
        <v>-0.3662293518595717</v>
      </c>
      <c r="E3" s="4">
        <v>0.2184939668985968</v>
      </c>
      <c r="F3" s="4">
        <v>0.1996372982658108</v>
      </c>
      <c r="G3" s="4">
        <v>0.7202346163811626</v>
      </c>
      <c r="H3" s="15"/>
      <c r="I3" s="6">
        <v>220.9001007080078</v>
      </c>
      <c r="J3" s="7">
        <v>44.98778</v>
      </c>
      <c r="K3" s="7">
        <v>19.572174</v>
      </c>
      <c r="L3" s="4">
        <v>0.3487892594826754</v>
      </c>
      <c r="M3" s="4">
        <v>0.7486</v>
      </c>
      <c r="N3" s="4">
        <v>0.3531</v>
      </c>
      <c r="O3" s="3" t="s">
        <v>72</v>
      </c>
      <c r="P3" s="5">
        <v>140</v>
      </c>
      <c r="Q3" s="5">
        <v>269.16544</v>
      </c>
      <c r="R3" s="5">
        <v>265</v>
      </c>
      <c r="S3" s="5">
        <v>380</v>
      </c>
      <c r="T3" s="7">
        <v>4.9</v>
      </c>
      <c r="U3" s="7">
        <v>8.34076</v>
      </c>
      <c r="V3" s="7">
        <v>11.28592</v>
      </c>
    </row>
    <row r="4" spans="1:22" ht="18" customHeight="1">
      <c r="A4" s="3" t="s">
        <v>71</v>
      </c>
      <c r="B4" s="4">
        <v>0.07426881</v>
      </c>
      <c r="C4" s="4">
        <v>0.2434892884597626</v>
      </c>
      <c r="D4" s="4">
        <v>-0.1465488304646814</v>
      </c>
      <c r="E4" s="4">
        <v>0.09263587754502778</v>
      </c>
      <c r="F4" s="4">
        <v>0.0980312455872987</v>
      </c>
      <c r="G4" s="4">
        <v>0.315083933668509</v>
      </c>
      <c r="H4" s="15"/>
      <c r="I4" s="6">
        <v>391.6099853515625</v>
      </c>
      <c r="J4" s="7">
        <v>29.87109</v>
      </c>
      <c r="K4" s="7">
        <v>27.073702</v>
      </c>
      <c r="L4" s="4">
        <v>0.6587966970922741</v>
      </c>
      <c r="M4" s="4">
        <v>0.3164</v>
      </c>
      <c r="N4" s="4">
        <v>0.0165</v>
      </c>
      <c r="O4" s="3" t="s">
        <v>71</v>
      </c>
      <c r="P4" s="5">
        <v>334.22</v>
      </c>
      <c r="Q4" s="5">
        <v>427.88712</v>
      </c>
      <c r="R4" s="5">
        <v>430</v>
      </c>
      <c r="S4" s="5">
        <v>515</v>
      </c>
      <c r="T4" s="7">
        <v>10.81</v>
      </c>
      <c r="U4" s="7">
        <v>14.22259</v>
      </c>
      <c r="V4" s="7">
        <v>14.42841</v>
      </c>
    </row>
    <row r="5" spans="1:22" ht="18" customHeight="1">
      <c r="A5" s="3" t="s">
        <v>173</v>
      </c>
      <c r="B5" s="4">
        <v>0.0711883</v>
      </c>
      <c r="C5" s="4">
        <v>0.07679713404433697</v>
      </c>
      <c r="D5" s="4">
        <v>-0.2625621368481322</v>
      </c>
      <c r="E5" s="4">
        <v>0.04709639095159779</v>
      </c>
      <c r="F5" s="4">
        <v>0.06328250035850691</v>
      </c>
      <c r="G5" s="4">
        <v>0.3719774198174284</v>
      </c>
      <c r="H5" s="15"/>
      <c r="I5" s="6">
        <v>291.5499877929688</v>
      </c>
      <c r="J5" s="7">
        <v>35.253925</v>
      </c>
      <c r="K5" s="7">
        <v>30.497723</v>
      </c>
      <c r="L5" s="4">
        <v>0.1199078603174795</v>
      </c>
      <c r="M5" s="4">
        <v>0.1693</v>
      </c>
      <c r="N5" s="4">
        <v>0.0959</v>
      </c>
      <c r="O5" s="3" t="s">
        <v>173</v>
      </c>
      <c r="P5" s="5">
        <v>215</v>
      </c>
      <c r="Q5" s="5">
        <v>305.28094</v>
      </c>
      <c r="R5" s="5">
        <v>310</v>
      </c>
      <c r="S5" s="5">
        <v>400</v>
      </c>
      <c r="T5" s="7">
        <v>7.46</v>
      </c>
      <c r="U5" s="7">
        <v>8.72795</v>
      </c>
      <c r="V5" s="7">
        <v>9.606960000000001</v>
      </c>
    </row>
    <row r="6" spans="1:22" ht="18" customHeight="1">
      <c r="A6" s="3" t="s">
        <v>175</v>
      </c>
      <c r="B6" s="4">
        <v>0.05095821</v>
      </c>
      <c r="C6" s="4">
        <v>-0.1292175718197515</v>
      </c>
      <c r="D6" s="4">
        <v>-0.0265034784497139</v>
      </c>
      <c r="E6" s="4">
        <v>0.3666822750133616</v>
      </c>
      <c r="F6" s="4">
        <v>0.3689794834300899</v>
      </c>
      <c r="G6" s="4">
        <v>1.117354934371872</v>
      </c>
      <c r="H6" s="15"/>
      <c r="I6" s="6">
        <v>410.8900146484375</v>
      </c>
      <c r="J6" s="7">
        <v>24.501492</v>
      </c>
      <c r="K6" s="7">
        <v>21.229645</v>
      </c>
      <c r="L6" s="4">
        <v>0.163905497584615</v>
      </c>
      <c r="M6" s="4">
        <v>0.2354</v>
      </c>
      <c r="N6" s="4">
        <v>0.1486</v>
      </c>
      <c r="O6" s="3" t="s">
        <v>175</v>
      </c>
      <c r="P6" s="5">
        <v>400</v>
      </c>
      <c r="Q6" s="5">
        <v>561.5561</v>
      </c>
      <c r="R6" s="5">
        <v>562.5</v>
      </c>
      <c r="S6" s="5">
        <v>870</v>
      </c>
      <c r="T6" s="7">
        <v>13.64</v>
      </c>
      <c r="U6" s="7">
        <v>16.85079</v>
      </c>
      <c r="V6" s="7">
        <v>19.35454</v>
      </c>
    </row>
    <row r="7" spans="1:22" ht="18" customHeight="1">
      <c r="A7" s="3" t="s">
        <v>172</v>
      </c>
      <c r="B7" s="4">
        <v>0.04839041</v>
      </c>
      <c r="C7" s="4">
        <v>0.1922296182998757</v>
      </c>
      <c r="D7" s="4">
        <v>-0.2334469210122062</v>
      </c>
      <c r="E7" s="4">
        <v>0.1537233007759018</v>
      </c>
      <c r="F7" s="4">
        <v>0.1739001257929016</v>
      </c>
      <c r="G7" s="4">
        <v>0.3701673392535445</v>
      </c>
      <c r="H7" s="15"/>
      <c r="I7" s="6">
        <v>270.0400085449219</v>
      </c>
      <c r="J7" s="7">
        <v>32.262844</v>
      </c>
      <c r="K7" s="7">
        <v>27.357653</v>
      </c>
      <c r="L7" s="4">
        <v>0.04813371194604787</v>
      </c>
      <c r="M7" s="4">
        <v>0.2032</v>
      </c>
      <c r="N7" s="4">
        <v>0.1442</v>
      </c>
      <c r="O7" s="3" t="s">
        <v>172</v>
      </c>
      <c r="P7" s="5">
        <v>207</v>
      </c>
      <c r="Q7" s="5">
        <v>311.55145</v>
      </c>
      <c r="R7" s="5">
        <v>317</v>
      </c>
      <c r="S7" s="5">
        <v>370</v>
      </c>
      <c r="T7" s="7">
        <v>7.17</v>
      </c>
      <c r="U7" s="7">
        <v>8.60388</v>
      </c>
      <c r="V7" s="7">
        <v>9.86961</v>
      </c>
    </row>
    <row r="8" spans="1:22" ht="18" customHeight="1">
      <c r="A8" s="3" t="s">
        <v>73</v>
      </c>
      <c r="B8" s="4">
        <v>0.03836045</v>
      </c>
      <c r="C8" s="4">
        <v>1.574427545383016</v>
      </c>
      <c r="D8" s="4">
        <v>-0.6932307474587452</v>
      </c>
      <c r="E8" s="4">
        <v>-0.2929463994946252</v>
      </c>
      <c r="F8" s="4">
        <v>-0.3223972333426099</v>
      </c>
      <c r="G8" s="4">
        <v>0.2320050302861636</v>
      </c>
      <c r="H8" s="15"/>
      <c r="I8" s="6">
        <v>811.6849975585938</v>
      </c>
      <c r="J8" s="7">
        <v>38.26898</v>
      </c>
      <c r="K8" s="7">
        <v>7.9747324</v>
      </c>
      <c r="L8" s="4">
        <v>2.27888901203893</v>
      </c>
      <c r="M8" s="4">
        <v>0.060095</v>
      </c>
      <c r="N8" s="4">
        <v>0.7516</v>
      </c>
      <c r="O8" s="3" t="s">
        <v>73</v>
      </c>
      <c r="P8" s="5">
        <v>249</v>
      </c>
      <c r="Q8" s="5">
        <v>573.9048</v>
      </c>
      <c r="R8" s="5">
        <v>550</v>
      </c>
      <c r="S8" s="5">
        <v>1000</v>
      </c>
      <c r="T8" s="7">
        <v>7.59</v>
      </c>
      <c r="U8" s="7">
        <v>58.10855</v>
      </c>
      <c r="V8" s="7">
        <v>101.7821</v>
      </c>
    </row>
    <row r="9" spans="1:22" ht="18" customHeight="1">
      <c r="A9" s="3" t="s">
        <v>174</v>
      </c>
      <c r="B9" s="4">
        <v>0.03534284</v>
      </c>
      <c r="C9" s="4">
        <v>0.01600196117251818</v>
      </c>
      <c r="D9" s="4">
        <v>-0.7236576088219728</v>
      </c>
      <c r="E9" s="4">
        <v>-0.07379542946102913</v>
      </c>
      <c r="F9" s="4">
        <v>0.01100874821229447</v>
      </c>
      <c r="G9" s="4">
        <v>0.3480116642830595</v>
      </c>
      <c r="H9" s="15"/>
      <c r="I9" s="6">
        <v>445.1000061035156</v>
      </c>
      <c r="J9" s="7">
        <v>415.9626</v>
      </c>
      <c r="K9" s="7">
        <v>177.03915</v>
      </c>
      <c r="L9" s="4">
        <v>0.185720319205114</v>
      </c>
      <c r="M9" s="4">
        <v>0.2343</v>
      </c>
      <c r="N9" s="4">
        <v>0.22700001</v>
      </c>
      <c r="O9" s="3" t="s">
        <v>174</v>
      </c>
      <c r="P9" s="5">
        <v>123</v>
      </c>
      <c r="Q9" s="5">
        <v>412.25366</v>
      </c>
      <c r="R9" s="5">
        <v>450</v>
      </c>
      <c r="S9" s="5">
        <v>600</v>
      </c>
      <c r="T9" s="7">
        <v>1.08</v>
      </c>
      <c r="U9" s="7">
        <v>2.04894</v>
      </c>
      <c r="V9" s="7">
        <v>2.51402</v>
      </c>
    </row>
    <row r="10" spans="1:22" ht="18" customHeight="1">
      <c r="A10" s="3" t="s">
        <v>76</v>
      </c>
      <c r="B10" s="4">
        <v>0.03386997</v>
      </c>
      <c r="C10" s="4">
        <v>1.080816205575429</v>
      </c>
      <c r="D10" s="4">
        <v>-0.5161186160446372</v>
      </c>
      <c r="E10" s="4">
        <v>-0.04294533356365293</v>
      </c>
      <c r="F10" s="4">
        <v>-0.02148431244582194</v>
      </c>
      <c r="G10" s="4">
        <v>0.3441149554315632</v>
      </c>
      <c r="H10" s="15"/>
      <c r="I10" s="6">
        <v>464.989990234375</v>
      </c>
      <c r="J10" s="7">
        <v>155</v>
      </c>
      <c r="K10" s="7">
        <v>36.039722</v>
      </c>
      <c r="L10" s="4">
        <v>0.7753461704239681</v>
      </c>
      <c r="M10" s="4">
        <v>0.7586000000000001</v>
      </c>
      <c r="N10" s="4">
        <v>0.7594</v>
      </c>
      <c r="O10" s="3" t="s">
        <v>76</v>
      </c>
      <c r="P10" s="5">
        <v>225</v>
      </c>
      <c r="Q10" s="5">
        <v>445.02084</v>
      </c>
      <c r="R10" s="5">
        <v>455</v>
      </c>
      <c r="S10" s="5">
        <v>625</v>
      </c>
      <c r="T10" s="7">
        <v>2.65</v>
      </c>
      <c r="U10" s="7">
        <v>7.3335</v>
      </c>
      <c r="V10" s="7">
        <v>12.90243</v>
      </c>
    </row>
    <row r="11" spans="1:22" ht="18" customHeight="1">
      <c r="A11" s="3" t="s">
        <v>74</v>
      </c>
      <c r="B11" s="4">
        <v>0.03370316</v>
      </c>
      <c r="C11" s="4">
        <v>0.2376463308110246</v>
      </c>
      <c r="D11" s="4">
        <v>-0.1614841467883257</v>
      </c>
      <c r="E11" s="4">
        <v>0.1075232685149612</v>
      </c>
      <c r="F11" s="4">
        <v>0.1121981108571515</v>
      </c>
      <c r="G11" s="4">
        <v>0.4674027431204302</v>
      </c>
      <c r="H11" s="15"/>
      <c r="I11" s="6">
        <v>429.3299865722656</v>
      </c>
      <c r="J11" s="7">
        <v>83.853516</v>
      </c>
      <c r="K11" s="7">
        <v>23.696388</v>
      </c>
      <c r="L11" s="4">
        <v>0.5054207913071003</v>
      </c>
      <c r="M11" s="4">
        <v>0.6753</v>
      </c>
      <c r="N11" s="4">
        <v>0.5857</v>
      </c>
      <c r="O11" s="3" t="s">
        <v>74</v>
      </c>
      <c r="P11" s="5">
        <v>360</v>
      </c>
      <c r="Q11" s="5">
        <v>475.49295</v>
      </c>
      <c r="R11" s="5">
        <v>477.5</v>
      </c>
      <c r="S11" s="5">
        <v>630</v>
      </c>
      <c r="T11" s="7">
        <v>4.77</v>
      </c>
      <c r="U11" s="7">
        <v>11.42564</v>
      </c>
      <c r="V11" s="7">
        <v>18.11795</v>
      </c>
    </row>
    <row r="12" spans="1:22" ht="18" customHeight="1">
      <c r="A12" s="3" t="s">
        <v>176</v>
      </c>
      <c r="B12" s="4">
        <v>0.02972363</v>
      </c>
      <c r="C12" s="4">
        <v>-0.07636119577342437</v>
      </c>
      <c r="D12" s="4">
        <v>0.02294123915719148</v>
      </c>
      <c r="E12" s="4">
        <v>0.3772904834816733</v>
      </c>
      <c r="F12" s="4">
        <v>0.3744731633626759</v>
      </c>
      <c r="G12" s="4">
        <v>0.6910184979552922</v>
      </c>
      <c r="H12" s="15"/>
      <c r="I12" s="6">
        <v>600.22998046875</v>
      </c>
      <c r="J12" s="7">
        <v>21.834484</v>
      </c>
      <c r="K12" s="7">
        <v>16.587372</v>
      </c>
      <c r="L12" s="4">
        <v>0.1050188194480379</v>
      </c>
      <c r="M12" s="4">
        <v>0.0789</v>
      </c>
      <c r="N12" s="4">
        <v>0.1302</v>
      </c>
      <c r="O12" s="3" t="s">
        <v>176</v>
      </c>
      <c r="P12" s="5">
        <v>614</v>
      </c>
      <c r="Q12" s="5">
        <v>826.69104</v>
      </c>
      <c r="R12" s="5">
        <v>825</v>
      </c>
      <c r="S12" s="5">
        <v>1015</v>
      </c>
      <c r="T12" s="7">
        <v>23.49</v>
      </c>
      <c r="U12" s="7">
        <v>32.81202</v>
      </c>
      <c r="V12" s="7">
        <v>34.73745</v>
      </c>
    </row>
    <row r="13" spans="1:22" ht="18" customHeight="1">
      <c r="A13" s="3" t="s">
        <v>242</v>
      </c>
      <c r="B13" s="4">
        <v>0.02914666</v>
      </c>
      <c r="C13" s="4">
        <v>0.1273232724114659</v>
      </c>
      <c r="D13" s="4">
        <v>-0.5103265723172192</v>
      </c>
      <c r="E13" s="4">
        <v>0.08279084084105959</v>
      </c>
      <c r="F13" s="4">
        <v>0.0978162330307506</v>
      </c>
      <c r="G13" s="4">
        <v>0.184693776651889</v>
      </c>
      <c r="H13" s="15"/>
      <c r="I13" s="6">
        <v>126.6149978637695</v>
      </c>
      <c r="J13" s="7">
        <v>46.380955</v>
      </c>
      <c r="K13" s="7">
        <v>38.52473</v>
      </c>
      <c r="L13" s="4">
        <v>0.2497381104012444</v>
      </c>
      <c r="M13" s="4">
        <v>0.1046</v>
      </c>
      <c r="N13" s="4">
        <v>0.1271</v>
      </c>
      <c r="O13" s="3" t="s">
        <v>242</v>
      </c>
      <c r="P13" s="5">
        <v>62</v>
      </c>
      <c r="Q13" s="5">
        <v>137.09756</v>
      </c>
      <c r="R13" s="5">
        <v>139</v>
      </c>
      <c r="S13" s="5">
        <v>150</v>
      </c>
      <c r="T13" s="7">
        <v>2.73</v>
      </c>
      <c r="U13" s="7">
        <v>2.91608</v>
      </c>
      <c r="V13" s="7">
        <v>3.28672</v>
      </c>
    </row>
    <row r="14" spans="1:22" ht="18" customHeight="1">
      <c r="A14" s="3" t="s">
        <v>78</v>
      </c>
      <c r="B14" s="4">
        <v>0.02847686</v>
      </c>
      <c r="C14" s="4">
        <v>2.258379861886264</v>
      </c>
      <c r="D14" s="4">
        <v>-0.8410162520994733</v>
      </c>
      <c r="E14" s="4">
        <v>-0.3562716874223772</v>
      </c>
      <c r="F14" s="4">
        <v>-0.3648443404954448</v>
      </c>
      <c r="G14" s="4">
        <v>-0.08038812488911018</v>
      </c>
      <c r="H14" s="15"/>
      <c r="I14" s="6">
        <v>128.3150024414062</v>
      </c>
      <c r="J14" s="9" t="s">
        <v>79</v>
      </c>
      <c r="K14" s="7">
        <v>83.82437</v>
      </c>
      <c r="L14" s="4">
        <v>0.8249259534597484</v>
      </c>
      <c r="M14" s="4">
        <v>0.015855</v>
      </c>
      <c r="N14" s="4">
        <v>0.4129</v>
      </c>
      <c r="O14" s="3" t="s">
        <v>78</v>
      </c>
      <c r="P14" s="5">
        <v>20.4</v>
      </c>
      <c r="Q14" s="5">
        <v>82.59999999999999</v>
      </c>
      <c r="R14" s="5">
        <v>81.5</v>
      </c>
      <c r="S14" s="5">
        <v>118</v>
      </c>
      <c r="T14" s="7">
        <v>-0.06</v>
      </c>
      <c r="U14" s="7">
        <v>1.08591</v>
      </c>
      <c r="V14" s="7">
        <v>1.53433</v>
      </c>
    </row>
    <row r="15" spans="1:22" ht="18" customHeight="1">
      <c r="A15" s="3" t="s">
        <v>243</v>
      </c>
      <c r="B15" s="4">
        <v>0.02046537</v>
      </c>
      <c r="C15" s="4">
        <v>0.1631881336058112</v>
      </c>
      <c r="D15" s="4">
        <v>-0.3441961519556436</v>
      </c>
      <c r="E15" s="4">
        <v>0.08179263843923423</v>
      </c>
      <c r="F15" s="4">
        <v>0.1098218966904494</v>
      </c>
      <c r="G15" s="4">
        <v>0.3267416310435827</v>
      </c>
      <c r="H15" s="15"/>
      <c r="I15" s="6">
        <v>991.1500244140625</v>
      </c>
      <c r="J15" s="7">
        <v>51.43487</v>
      </c>
      <c r="K15" s="7">
        <v>44.07417</v>
      </c>
      <c r="L15" s="4">
        <v>-0.04722964866102963</v>
      </c>
      <c r="M15" s="4">
        <v>0.1282</v>
      </c>
      <c r="N15" s="4">
        <v>0.0946</v>
      </c>
      <c r="O15" s="3" t="s">
        <v>243</v>
      </c>
      <c r="P15" s="5">
        <v>650</v>
      </c>
      <c r="Q15" s="5">
        <v>1072.2188</v>
      </c>
      <c r="R15" s="5">
        <v>1100</v>
      </c>
      <c r="S15" s="5">
        <v>1315</v>
      </c>
      <c r="T15" s="7">
        <v>18.21</v>
      </c>
      <c r="U15" s="7">
        <v>20.51843</v>
      </c>
      <c r="V15" s="7">
        <v>22.56884</v>
      </c>
    </row>
    <row r="16" spans="1:22" ht="18" customHeight="1">
      <c r="A16" s="3" t="s">
        <v>85</v>
      </c>
      <c r="B16" s="4">
        <v>0.01740814</v>
      </c>
      <c r="C16" s="4">
        <v>0.2932666195904368</v>
      </c>
      <c r="D16" s="4">
        <v>-0.2332072193839824</v>
      </c>
      <c r="E16" s="4">
        <v>-0.08450514021986633</v>
      </c>
      <c r="F16" s="4">
        <v>-0.07984866326077877</v>
      </c>
      <c r="G16" s="4">
        <v>0.1246294115701592</v>
      </c>
      <c r="H16" s="15"/>
      <c r="I16" s="6">
        <v>97.80999755859375</v>
      </c>
      <c r="J16" s="7">
        <v>35.183453</v>
      </c>
      <c r="K16" s="7">
        <v>21.679766</v>
      </c>
      <c r="L16" s="4">
        <v>0.3369957025476586</v>
      </c>
      <c r="M16" s="4">
        <v>0.091800004</v>
      </c>
      <c r="N16" s="4">
        <v>0.08459999999999999</v>
      </c>
      <c r="O16" s="3" t="s">
        <v>85</v>
      </c>
      <c r="P16" s="5">
        <v>75</v>
      </c>
      <c r="Q16" s="5">
        <v>89.54455</v>
      </c>
      <c r="R16" s="5">
        <v>90</v>
      </c>
      <c r="S16" s="5">
        <v>110</v>
      </c>
      <c r="T16" s="7">
        <v>2.61</v>
      </c>
      <c r="U16" s="7">
        <v>4.15994</v>
      </c>
      <c r="V16" s="7">
        <v>4.51172</v>
      </c>
    </row>
    <row r="17" spans="1:22" ht="18" customHeight="1">
      <c r="A17" s="3" t="s">
        <v>177</v>
      </c>
      <c r="B17" s="4">
        <v>0.01685847</v>
      </c>
      <c r="C17" s="4">
        <v>-0.06154520942516595</v>
      </c>
      <c r="D17" s="4">
        <v>-0.06312213875366124</v>
      </c>
      <c r="E17" s="4">
        <v>0.3415505424384293</v>
      </c>
      <c r="F17" s="4">
        <v>0.3467619255416119</v>
      </c>
      <c r="G17" s="4">
        <v>0.7730413524086961</v>
      </c>
      <c r="H17" s="15"/>
      <c r="I17" s="6">
        <v>85.38999938964844</v>
      </c>
      <c r="J17" s="7">
        <v>27.545162</v>
      </c>
      <c r="K17" s="7">
        <v>22.229628</v>
      </c>
      <c r="L17" s="4">
        <v>0.05736814830690729</v>
      </c>
      <c r="M17" s="4">
        <v>0.42209998</v>
      </c>
      <c r="N17" s="4">
        <v>0.06760000400000001</v>
      </c>
      <c r="O17" s="3" t="s">
        <v>177</v>
      </c>
      <c r="P17" s="5">
        <v>80</v>
      </c>
      <c r="Q17" s="5">
        <v>114.555</v>
      </c>
      <c r="R17" s="5">
        <v>115</v>
      </c>
      <c r="S17" s="5">
        <v>151.4</v>
      </c>
      <c r="T17" s="7">
        <v>2.53</v>
      </c>
      <c r="U17" s="7">
        <v>3.59407</v>
      </c>
      <c r="V17" s="7">
        <v>3.82945</v>
      </c>
    </row>
    <row r="18" spans="1:22" ht="18" customHeight="1">
      <c r="A18" s="3" t="s">
        <v>77</v>
      </c>
      <c r="B18" s="4">
        <v>0.01675825</v>
      </c>
      <c r="C18" s="4">
        <v>0.6105948539238486</v>
      </c>
      <c r="D18" s="4">
        <v>-0.2610010380281607</v>
      </c>
      <c r="E18" s="4">
        <v>0.04289129079406595</v>
      </c>
      <c r="F18" s="4">
        <v>0.05811215009604265</v>
      </c>
      <c r="G18" s="4">
        <v>0.2932481834507188</v>
      </c>
      <c r="H18" s="15"/>
      <c r="I18" s="6">
        <v>297.7000122070312</v>
      </c>
      <c r="J18" s="7">
        <v>56.275993</v>
      </c>
      <c r="K18" s="7">
        <v>37.62192</v>
      </c>
      <c r="L18" s="4">
        <v>1.384699777556252</v>
      </c>
      <c r="M18" s="4">
        <v>0.37080002</v>
      </c>
      <c r="N18" s="4">
        <v>0.3944</v>
      </c>
      <c r="O18" s="3" t="s">
        <v>77</v>
      </c>
      <c r="P18" s="5">
        <v>220</v>
      </c>
      <c r="Q18" s="5">
        <v>310.46875</v>
      </c>
      <c r="R18" s="5">
        <v>315</v>
      </c>
      <c r="S18" s="5">
        <v>385</v>
      </c>
      <c r="T18" s="7">
        <v>4.15</v>
      </c>
      <c r="U18" s="7">
        <v>5.675</v>
      </c>
      <c r="V18" s="7">
        <v>7.91294</v>
      </c>
    </row>
    <row r="19" spans="1:22" ht="18" customHeight="1">
      <c r="A19" s="3" t="s">
        <v>83</v>
      </c>
      <c r="B19" s="4">
        <v>0.01577105</v>
      </c>
      <c r="C19" s="4">
        <v>0.6611236865234942</v>
      </c>
      <c r="D19" s="4">
        <v>-0.3722958383156065</v>
      </c>
      <c r="E19" s="4">
        <v>-0.01499239405118302</v>
      </c>
      <c r="F19" s="4">
        <v>-0.002398743037303142</v>
      </c>
      <c r="G19" s="4">
        <v>0.2329903175943444</v>
      </c>
      <c r="H19" s="15"/>
      <c r="I19" s="6">
        <v>446.0700073242188</v>
      </c>
      <c r="J19" s="7">
        <v>45.75077</v>
      </c>
      <c r="K19" s="7">
        <v>30.989502</v>
      </c>
      <c r="L19" s="4">
        <v>0.5839540115112469</v>
      </c>
      <c r="M19" s="4">
        <v>0.17959999</v>
      </c>
      <c r="N19" s="4">
        <v>0.2953</v>
      </c>
      <c r="O19" s="3" t="s">
        <v>83</v>
      </c>
      <c r="P19" s="5">
        <v>280</v>
      </c>
      <c r="Q19" s="5">
        <v>439.38235</v>
      </c>
      <c r="R19" s="5">
        <v>445</v>
      </c>
      <c r="S19" s="5">
        <v>550</v>
      </c>
      <c r="T19" s="7">
        <v>8.66</v>
      </c>
      <c r="U19" s="7">
        <v>11.11229</v>
      </c>
      <c r="V19" s="7">
        <v>14.39423</v>
      </c>
    </row>
    <row r="20" spans="1:22" ht="18" customHeight="1">
      <c r="A20" s="3" t="s">
        <v>93</v>
      </c>
      <c r="B20" s="4">
        <v>0.01441079</v>
      </c>
      <c r="C20" s="4">
        <v>-0.1873584941849615</v>
      </c>
      <c r="D20" s="4">
        <v>-0.4868034960974862</v>
      </c>
      <c r="E20" s="4">
        <v>0.3306941211283898</v>
      </c>
      <c r="F20" s="4">
        <v>0.392961939163966</v>
      </c>
      <c r="G20" s="4">
        <v>0.869501549930586</v>
      </c>
      <c r="H20" s="15"/>
      <c r="I20" s="6">
        <v>136.3999938964844</v>
      </c>
      <c r="J20" s="7">
        <v>151.56668</v>
      </c>
      <c r="K20" s="7">
        <v>66.25704</v>
      </c>
      <c r="L20" s="4">
        <v>1.364011094939334</v>
      </c>
      <c r="M20" s="4">
        <v>0.9482</v>
      </c>
      <c r="N20" s="4">
        <v>0.409</v>
      </c>
      <c r="O20" s="3" t="s">
        <v>93</v>
      </c>
      <c r="P20" s="5">
        <v>70</v>
      </c>
      <c r="Q20" s="5">
        <v>181.50667</v>
      </c>
      <c r="R20" s="5">
        <v>190</v>
      </c>
      <c r="S20" s="5">
        <v>255</v>
      </c>
      <c r="T20" s="7">
        <v>0.63</v>
      </c>
      <c r="U20" s="7">
        <v>1.46118</v>
      </c>
      <c r="V20" s="7">
        <v>2.0588</v>
      </c>
    </row>
    <row r="21" spans="1:22" ht="18" customHeight="1">
      <c r="A21" s="3" t="s">
        <v>183</v>
      </c>
      <c r="B21" s="4">
        <v>0.01197978</v>
      </c>
      <c r="C21" s="4">
        <v>0.68064585329154</v>
      </c>
      <c r="D21" s="4">
        <v>-0.3218385154869603</v>
      </c>
      <c r="E21" s="4">
        <v>-0.05375280364039936</v>
      </c>
      <c r="F21" s="4">
        <v>-0.05396472910430961</v>
      </c>
      <c r="G21" s="4">
        <v>0.1528745236721674</v>
      </c>
      <c r="H21" s="15"/>
      <c r="I21" s="6">
        <v>294.9150085449219</v>
      </c>
      <c r="J21" s="7">
        <v>50.499146</v>
      </c>
      <c r="K21" s="7">
        <v>32.05685</v>
      </c>
      <c r="L21" s="4">
        <v>-0.04186844060642492</v>
      </c>
      <c r="M21" s="4">
        <v>0.39040002</v>
      </c>
      <c r="N21" s="4">
        <v>0.18370001</v>
      </c>
      <c r="O21" s="3" t="s">
        <v>183</v>
      </c>
      <c r="P21" s="5">
        <v>200</v>
      </c>
      <c r="Q21" s="5">
        <v>279.0625</v>
      </c>
      <c r="R21" s="5">
        <v>279</v>
      </c>
      <c r="S21" s="5">
        <v>340</v>
      </c>
      <c r="T21" s="7">
        <v>5.45</v>
      </c>
      <c r="U21" s="7">
        <v>7.67388</v>
      </c>
      <c r="V21" s="7">
        <v>8.86983</v>
      </c>
    </row>
    <row r="22" spans="1:22" ht="18" customHeight="1">
      <c r="A22" s="3" t="s">
        <v>90</v>
      </c>
      <c r="B22" s="4">
        <v>0.01118153</v>
      </c>
      <c r="C22" s="4">
        <v>0.4541221180696984</v>
      </c>
      <c r="D22" s="4">
        <v>-0.2438522447411244</v>
      </c>
      <c r="E22" s="4">
        <v>-0.00855245792194137</v>
      </c>
      <c r="F22" s="4">
        <v>0.01269788650742254</v>
      </c>
      <c r="G22" s="4">
        <v>0.1342216328883132</v>
      </c>
      <c r="H22" s="15"/>
      <c r="I22" s="6">
        <v>1851.489990234375</v>
      </c>
      <c r="J22" s="7">
        <v>52.38692</v>
      </c>
      <c r="K22" s="7">
        <v>37.23512</v>
      </c>
      <c r="L22" s="4">
        <v>0.9249564605495981</v>
      </c>
      <c r="M22" s="4">
        <v>0.11399999</v>
      </c>
      <c r="N22" s="4">
        <v>0.34080002</v>
      </c>
      <c r="O22" s="3" t="s">
        <v>90</v>
      </c>
      <c r="P22" s="5">
        <v>1400</v>
      </c>
      <c r="Q22" s="5">
        <v>1835.6552</v>
      </c>
      <c r="R22" s="5">
        <v>1875</v>
      </c>
      <c r="S22" s="5">
        <v>2100</v>
      </c>
      <c r="T22" s="7">
        <v>20.28</v>
      </c>
      <c r="U22" s="7">
        <v>37.0733</v>
      </c>
      <c r="V22" s="7">
        <v>49.70657</v>
      </c>
    </row>
    <row r="23" spans="1:22" ht="18" customHeight="1">
      <c r="A23" s="3" t="s">
        <v>180</v>
      </c>
      <c r="B23" s="4">
        <v>0.0106687</v>
      </c>
      <c r="C23" s="4">
        <v>0.3765701215614639</v>
      </c>
      <c r="D23" s="4">
        <v>-0.5773457420949994</v>
      </c>
      <c r="E23" s="4">
        <v>-0.261036747718824</v>
      </c>
      <c r="F23" s="4">
        <v>-0.3237531873519991</v>
      </c>
      <c r="G23" s="4">
        <v>0.2679627737150017</v>
      </c>
      <c r="H23" s="15"/>
      <c r="I23" s="6">
        <v>236.6000061035156</v>
      </c>
      <c r="J23" s="7">
        <v>25.468246</v>
      </c>
      <c r="K23" s="7">
        <v>22.246355</v>
      </c>
      <c r="L23" s="4">
        <v>0.1382382149564476</v>
      </c>
      <c r="M23" s="4">
        <v>-0.1062</v>
      </c>
      <c r="N23" s="4">
        <v>-0.0109</v>
      </c>
      <c r="O23" s="3" t="s">
        <v>180</v>
      </c>
      <c r="P23" s="5">
        <v>100</v>
      </c>
      <c r="Q23" s="5">
        <v>174.83871</v>
      </c>
      <c r="R23" s="5">
        <v>160</v>
      </c>
      <c r="S23" s="5">
        <v>300</v>
      </c>
      <c r="T23" s="7">
        <v>5.01</v>
      </c>
      <c r="U23" s="7">
        <v>10.75261</v>
      </c>
      <c r="V23" s="7">
        <v>10.63545</v>
      </c>
    </row>
    <row r="24" spans="1:22" ht="18" customHeight="1">
      <c r="A24" s="3" t="s">
        <v>82</v>
      </c>
      <c r="B24" s="4">
        <v>0.01052413</v>
      </c>
      <c r="C24" s="4">
        <v>4.73928247986709</v>
      </c>
      <c r="D24" s="4">
        <v>-0.3669604185665131</v>
      </c>
      <c r="E24" s="4">
        <v>-0.1143488855775547</v>
      </c>
      <c r="F24" s="4">
        <v>-0.1453965650647927</v>
      </c>
      <c r="G24" s="4">
        <v>0.2660791628669739</v>
      </c>
      <c r="H24" s="15"/>
      <c r="I24" s="6">
        <v>1579.680053710938</v>
      </c>
      <c r="J24" s="7">
        <v>54.061604</v>
      </c>
      <c r="K24" s="7">
        <v>9.333021</v>
      </c>
      <c r="L24" s="4">
        <v>5.59388902452257</v>
      </c>
      <c r="M24" s="4">
        <v>0.205815</v>
      </c>
      <c r="N24" s="4">
        <v>0.01623</v>
      </c>
      <c r="O24" s="3" t="s">
        <v>82</v>
      </c>
      <c r="P24" s="5">
        <v>1000</v>
      </c>
      <c r="Q24" s="5">
        <v>1399.0454</v>
      </c>
      <c r="R24" s="5">
        <v>1350</v>
      </c>
      <c r="S24" s="5">
        <v>2000</v>
      </c>
      <c r="T24" s="7">
        <v>-11.32</v>
      </c>
      <c r="U24" s="7">
        <v>64.52876000000001</v>
      </c>
      <c r="V24" s="7">
        <v>169.2571</v>
      </c>
    </row>
    <row r="25" spans="1:22" ht="18" customHeight="1">
      <c r="A25" s="3" t="s">
        <v>244</v>
      </c>
      <c r="B25" s="4">
        <v>0.0104295</v>
      </c>
      <c r="C25" s="4">
        <v>0.1765050873397782</v>
      </c>
      <c r="D25" s="4">
        <v>-0.2050242525464825</v>
      </c>
      <c r="E25" s="4">
        <v>0.07442800712562025</v>
      </c>
      <c r="F25" s="4">
        <v>0.09309165274858655</v>
      </c>
      <c r="G25" s="4">
        <v>0.1924636211802762</v>
      </c>
      <c r="H25" s="15"/>
      <c r="I25" s="6">
        <v>503.1600036621094</v>
      </c>
      <c r="J25" s="7">
        <v>33.343937</v>
      </c>
      <c r="K25" s="7">
        <v>25.52816</v>
      </c>
      <c r="L25" s="4">
        <v>0.04336703710166834</v>
      </c>
      <c r="M25" s="4">
        <v>0.09050000499999999</v>
      </c>
      <c r="N25" s="4">
        <v>0.09810001</v>
      </c>
      <c r="O25" s="3" t="s">
        <v>244</v>
      </c>
      <c r="P25" s="5">
        <v>400</v>
      </c>
      <c r="Q25" s="5">
        <v>540.6092</v>
      </c>
      <c r="R25" s="5">
        <v>550</v>
      </c>
      <c r="S25" s="5">
        <v>600</v>
      </c>
      <c r="T25" s="7">
        <v>14.61</v>
      </c>
      <c r="U25" s="7">
        <v>17.95</v>
      </c>
      <c r="V25" s="7">
        <v>19.71</v>
      </c>
    </row>
    <row r="26" spans="1:22" ht="18" customHeight="1">
      <c r="A26" s="3" t="s">
        <v>245</v>
      </c>
      <c r="B26" s="4">
        <v>0.009736989999999999</v>
      </c>
      <c r="C26" s="4">
        <v>-0.04150960384061442</v>
      </c>
      <c r="D26" s="4">
        <v>0.1135617849199511</v>
      </c>
      <c r="E26" s="4">
        <v>0.3795015598645479</v>
      </c>
      <c r="F26" s="4">
        <v>0.370941631434468</v>
      </c>
      <c r="G26" s="4">
        <v>0.6283214779489852</v>
      </c>
      <c r="H26" s="15"/>
      <c r="I26" s="6">
        <v>190.3800964355469</v>
      </c>
      <c r="J26" s="7">
        <v>20.23168</v>
      </c>
      <c r="K26" s="7">
        <v>13.647866</v>
      </c>
      <c r="L26" s="4">
        <v>-0.06068520827174206</v>
      </c>
      <c r="M26" s="4">
        <v>0.0548</v>
      </c>
      <c r="N26" s="4">
        <v>0.241</v>
      </c>
      <c r="O26" s="3" t="s">
        <v>245</v>
      </c>
      <c r="P26" s="5">
        <v>212</v>
      </c>
      <c r="Q26" s="5">
        <v>262.62964</v>
      </c>
      <c r="R26" s="5">
        <v>261</v>
      </c>
      <c r="S26" s="5">
        <v>310</v>
      </c>
      <c r="T26" s="7">
        <v>9.720000000000001</v>
      </c>
      <c r="U26" s="7">
        <v>10.50429</v>
      </c>
      <c r="V26" s="7">
        <v>13.5431</v>
      </c>
    </row>
    <row r="27" spans="1:22" ht="18" customHeight="1">
      <c r="A27" s="3" t="s">
        <v>246</v>
      </c>
      <c r="B27" s="4">
        <v>0.009643779999999999</v>
      </c>
      <c r="C27" s="4">
        <v>0.05851896479202678</v>
      </c>
      <c r="D27" s="4">
        <v>-0.1154000876546969</v>
      </c>
      <c r="E27" s="4">
        <v>0.1532988110988107</v>
      </c>
      <c r="F27" s="4">
        <v>0.1593620063313441</v>
      </c>
      <c r="G27" s="4">
        <v>0.3067953250555613</v>
      </c>
      <c r="H27" s="15"/>
      <c r="I27" s="6">
        <v>149.2200012207031</v>
      </c>
      <c r="J27" s="7">
        <v>23.425432</v>
      </c>
      <c r="K27" s="7">
        <v>16.306362</v>
      </c>
      <c r="L27" s="4">
        <v>-0.006356058661668773</v>
      </c>
      <c r="M27" s="4">
        <v>0.06370000000000001</v>
      </c>
      <c r="N27" s="4">
        <v>0.056900002</v>
      </c>
      <c r="O27" s="3" t="s">
        <v>246</v>
      </c>
      <c r="P27" s="5">
        <v>132</v>
      </c>
      <c r="Q27" s="5">
        <v>172.09525</v>
      </c>
      <c r="R27" s="5">
        <v>173</v>
      </c>
      <c r="S27" s="5">
        <v>195</v>
      </c>
      <c r="T27" s="7">
        <v>6</v>
      </c>
      <c r="U27" s="7">
        <v>8.65856</v>
      </c>
      <c r="V27" s="7">
        <v>9.15103</v>
      </c>
    </row>
    <row r="28" spans="1:22" ht="18" customHeight="1">
      <c r="A28" s="3" t="s">
        <v>100</v>
      </c>
      <c r="B28" s="4">
        <v>0.00928032</v>
      </c>
      <c r="C28" s="4">
        <v>0.5336099184134404</v>
      </c>
      <c r="D28" s="4">
        <v>-0.2951015531660693</v>
      </c>
      <c r="E28" s="4">
        <v>-0.05761744324970142</v>
      </c>
      <c r="F28" s="4">
        <v>-0.04420549581839905</v>
      </c>
      <c r="G28" s="4">
        <v>0.135005973715651</v>
      </c>
      <c r="H28" s="15"/>
      <c r="I28" s="6">
        <v>418.5</v>
      </c>
      <c r="J28" s="7">
        <v>76.64834999999999</v>
      </c>
      <c r="K28" s="7">
        <v>31.82425</v>
      </c>
      <c r="L28" s="4">
        <v>0.3043408740641875</v>
      </c>
      <c r="M28" s="4">
        <v>0.4721</v>
      </c>
      <c r="N28" s="4">
        <v>0.1467</v>
      </c>
      <c r="O28" s="3" t="s">
        <v>100</v>
      </c>
      <c r="P28" s="5">
        <v>295</v>
      </c>
      <c r="Q28" s="5">
        <v>394.3871</v>
      </c>
      <c r="R28" s="5">
        <v>400</v>
      </c>
      <c r="S28" s="5">
        <v>475</v>
      </c>
      <c r="T28" s="7">
        <v>4.56</v>
      </c>
      <c r="U28" s="7">
        <v>11.46783</v>
      </c>
      <c r="V28" s="7">
        <v>13.15035</v>
      </c>
    </row>
    <row r="29" spans="1:22" ht="18" customHeight="1">
      <c r="A29" s="3" t="s">
        <v>247</v>
      </c>
      <c r="B29" s="4">
        <v>0.00816044</v>
      </c>
      <c r="C29" s="4">
        <v>0.008895701723879768</v>
      </c>
      <c r="D29" s="4">
        <v>-0.3907638097936651</v>
      </c>
      <c r="E29" s="4">
        <v>0.07550499505999597</v>
      </c>
      <c r="F29" s="4">
        <v>0.07377878523866532</v>
      </c>
      <c r="G29" s="4">
        <v>0.3159501708456833</v>
      </c>
      <c r="H29" s="15"/>
      <c r="I29" s="6">
        <v>328.2799072265625</v>
      </c>
      <c r="J29" s="7">
        <v>22.860718</v>
      </c>
      <c r="K29" s="7">
        <v>13.977382</v>
      </c>
      <c r="L29" s="4">
        <v>0.3034712464125131</v>
      </c>
      <c r="M29" s="4">
        <v>0.026700001</v>
      </c>
      <c r="N29" s="4">
        <v>0.047399998</v>
      </c>
      <c r="O29" s="3" t="s">
        <v>247</v>
      </c>
      <c r="P29" s="5">
        <v>200</v>
      </c>
      <c r="Q29" s="5">
        <v>353.06668</v>
      </c>
      <c r="R29" s="5">
        <v>352.5</v>
      </c>
      <c r="S29" s="5">
        <v>432</v>
      </c>
      <c r="T29" s="7">
        <v>14.23</v>
      </c>
      <c r="U29" s="7">
        <v>22.42294</v>
      </c>
      <c r="V29" s="7">
        <v>23.48651</v>
      </c>
    </row>
    <row r="30" spans="1:22" ht="18" customHeight="1">
      <c r="A30" s="3" t="s">
        <v>84</v>
      </c>
      <c r="B30" s="4">
        <v>0.00778913</v>
      </c>
      <c r="C30" s="4">
        <v>1.905759951620846</v>
      </c>
      <c r="D30" s="4">
        <v>-0.3465755272144698</v>
      </c>
      <c r="E30" s="4">
        <v>-0.04689408247525728</v>
      </c>
      <c r="F30" s="4">
        <v>-0.07561418620615823</v>
      </c>
      <c r="G30" s="4">
        <v>0.1989439867624407</v>
      </c>
      <c r="H30" s="15"/>
      <c r="I30" s="6">
        <v>834.0673217773438</v>
      </c>
      <c r="J30" s="7">
        <v>78.90893</v>
      </c>
      <c r="K30" s="7">
        <v>31.746117</v>
      </c>
      <c r="L30" s="4">
        <v>2.24961241093072</v>
      </c>
      <c r="M30" s="4">
        <v>0.8376</v>
      </c>
      <c r="N30" s="4">
        <v>0.7651</v>
      </c>
      <c r="O30" s="3" t="s">
        <v>84</v>
      </c>
      <c r="P30" s="5">
        <v>545</v>
      </c>
      <c r="Q30" s="5">
        <v>794.9545000000001</v>
      </c>
      <c r="R30" s="5">
        <v>771</v>
      </c>
      <c r="S30" s="5">
        <v>1000</v>
      </c>
      <c r="T30" s="7">
        <v>1.58</v>
      </c>
      <c r="U30" s="7">
        <v>14.88438</v>
      </c>
      <c r="V30" s="7">
        <v>26.27305</v>
      </c>
    </row>
    <row r="31" spans="1:22" ht="18" customHeight="1">
      <c r="A31" s="3" t="s">
        <v>202</v>
      </c>
      <c r="B31" s="4">
        <v>0.00774153</v>
      </c>
      <c r="C31" s="4">
        <v>0.1925629117754946</v>
      </c>
      <c r="D31" s="4">
        <v>-0.467065597455304</v>
      </c>
      <c r="E31" s="4">
        <v>-0.02968165842369175</v>
      </c>
      <c r="F31" s="4">
        <v>-0.01827873215450726</v>
      </c>
      <c r="G31" s="4">
        <v>0.2388387427574075</v>
      </c>
      <c r="H31" s="15"/>
      <c r="I31" s="6">
        <v>213.9100036621094</v>
      </c>
      <c r="J31" s="7">
        <v>118.18233</v>
      </c>
      <c r="K31" s="7">
        <v>53.880257</v>
      </c>
      <c r="L31" s="4">
        <v>0.01914347322075849</v>
      </c>
      <c r="M31" s="4">
        <v>0.105100006</v>
      </c>
      <c r="N31" s="4">
        <v>0.0756</v>
      </c>
      <c r="O31" s="3" t="s">
        <v>202</v>
      </c>
      <c r="P31" s="5">
        <v>114</v>
      </c>
      <c r="Q31" s="5">
        <v>207.5608</v>
      </c>
      <c r="R31" s="5">
        <v>210</v>
      </c>
      <c r="S31" s="5">
        <v>265</v>
      </c>
      <c r="T31" s="7">
        <v>1.6</v>
      </c>
      <c r="U31" s="7">
        <v>3.69117</v>
      </c>
      <c r="V31" s="7">
        <v>2.29782</v>
      </c>
    </row>
    <row r="32" spans="1:22" ht="18" customHeight="1">
      <c r="A32" s="3" t="s">
        <v>101</v>
      </c>
      <c r="B32" s="4">
        <v>0.00744059</v>
      </c>
      <c r="C32" s="4">
        <v>0.09983745312051706</v>
      </c>
      <c r="D32" s="4">
        <v>-0.08260330533469573</v>
      </c>
      <c r="E32" s="4">
        <v>0.1878354647140863</v>
      </c>
      <c r="F32" s="4">
        <v>0.2069030286375519</v>
      </c>
      <c r="G32" s="4">
        <v>0.3535361068832359</v>
      </c>
      <c r="H32" s="15"/>
      <c r="I32" s="6">
        <v>132.9850006103516</v>
      </c>
      <c r="J32" s="7">
        <v>18.093197</v>
      </c>
      <c r="K32" s="7">
        <v>13.750734</v>
      </c>
      <c r="L32" s="4">
        <v>0.3732192472678635</v>
      </c>
      <c r="M32" s="4">
        <v>-1.1011</v>
      </c>
      <c r="N32" s="4">
        <v>0.127563</v>
      </c>
      <c r="O32" s="3" t="s">
        <v>101</v>
      </c>
      <c r="P32" s="5">
        <v>122</v>
      </c>
      <c r="Q32" s="5">
        <v>157.9643</v>
      </c>
      <c r="R32" s="5">
        <v>160.5</v>
      </c>
      <c r="S32" s="5">
        <v>180</v>
      </c>
      <c r="T32" s="7">
        <v>6.78</v>
      </c>
      <c r="U32" s="7">
        <v>-0.82383</v>
      </c>
      <c r="V32" s="7">
        <v>9.68516</v>
      </c>
    </row>
    <row r="33" spans="1:22" ht="18" customHeight="1">
      <c r="A33" s="3" t="s">
        <v>86</v>
      </c>
      <c r="B33" s="4">
        <v>0.00742703</v>
      </c>
      <c r="C33" s="4">
        <v>1.754967417424427</v>
      </c>
      <c r="D33" s="4">
        <v>-0.3033381712626996</v>
      </c>
      <c r="E33" s="4">
        <v>-0.04077054668601832</v>
      </c>
      <c r="F33" s="4">
        <v>-0.03241412675374944</v>
      </c>
      <c r="G33" s="4">
        <v>0.2772133526850509</v>
      </c>
      <c r="H33" s="15"/>
      <c r="I33" s="6">
        <v>516.75</v>
      </c>
      <c r="J33" s="7">
        <v>30.949697</v>
      </c>
      <c r="K33" s="7">
        <v>29.674139</v>
      </c>
      <c r="L33" s="4">
        <v>2.697874632899181</v>
      </c>
      <c r="M33" s="4">
        <v>1.0124</v>
      </c>
      <c r="N33" s="4">
        <v>0.7556</v>
      </c>
      <c r="O33" s="3" t="s">
        <v>86</v>
      </c>
      <c r="P33" s="5">
        <v>360</v>
      </c>
      <c r="Q33" s="5">
        <v>495.68182</v>
      </c>
      <c r="R33" s="5">
        <v>500</v>
      </c>
      <c r="S33" s="5">
        <v>660</v>
      </c>
      <c r="T33" s="7">
        <v>5.12</v>
      </c>
      <c r="U33" s="7">
        <v>9.92107</v>
      </c>
      <c r="V33" s="7">
        <v>17.41786</v>
      </c>
    </row>
    <row r="34" spans="1:22" ht="18" customHeight="1">
      <c r="A34" s="3" t="s">
        <v>248</v>
      </c>
      <c r="B34" s="4">
        <v>0.007294310000000001</v>
      </c>
      <c r="C34" s="4">
        <v>-0.2546531732895428</v>
      </c>
      <c r="D34" s="4">
        <v>-0.09757202853776448</v>
      </c>
      <c r="E34" s="4">
        <v>0.3775380111401145</v>
      </c>
      <c r="F34" s="4">
        <v>0.3846778398097794</v>
      </c>
      <c r="G34" s="4">
        <v>0.7905316894091974</v>
      </c>
      <c r="H34" s="15"/>
      <c r="I34" s="6">
        <v>418.8699951171875</v>
      </c>
      <c r="J34" s="7">
        <v>50.83374</v>
      </c>
      <c r="K34" s="7">
        <v>35.529858</v>
      </c>
      <c r="L34" s="4">
        <v>0.0807777296875225</v>
      </c>
      <c r="M34" s="4">
        <v>0.1658</v>
      </c>
      <c r="N34" s="4">
        <v>0.13239999</v>
      </c>
      <c r="O34" s="3" t="s">
        <v>248</v>
      </c>
      <c r="P34" s="5">
        <v>378</v>
      </c>
      <c r="Q34" s="5">
        <v>577.00934</v>
      </c>
      <c r="R34" s="5">
        <v>580</v>
      </c>
      <c r="S34" s="5">
        <v>750</v>
      </c>
      <c r="T34" s="7">
        <v>7.87</v>
      </c>
      <c r="U34" s="7">
        <v>10.41054</v>
      </c>
      <c r="V34" s="7">
        <v>11.78924</v>
      </c>
    </row>
    <row r="35" spans="1:22" ht="18" customHeight="1">
      <c r="A35" s="3" t="s">
        <v>182</v>
      </c>
      <c r="B35" s="4">
        <v>0.006764210000000001</v>
      </c>
      <c r="C35" s="4">
        <v>0.9079639768235903</v>
      </c>
      <c r="D35" s="4">
        <v>-0.5010126543726873</v>
      </c>
      <c r="E35" s="4">
        <v>-0.2351773221029173</v>
      </c>
      <c r="F35" s="4">
        <v>-0.2581817541198148</v>
      </c>
      <c r="G35" s="4">
        <v>0.1447356752626587</v>
      </c>
      <c r="H35" s="15"/>
      <c r="I35" s="6">
        <v>170.3450012207031</v>
      </c>
      <c r="J35" s="7">
        <v>55.6683</v>
      </c>
      <c r="K35" s="7">
        <v>31.34263</v>
      </c>
      <c r="L35" s="4">
        <v>-0.249332238329024</v>
      </c>
      <c r="M35" s="4">
        <v>0.34919998</v>
      </c>
      <c r="N35" s="4">
        <v>0.4184</v>
      </c>
      <c r="O35" s="3" t="s">
        <v>182</v>
      </c>
      <c r="P35" s="5">
        <v>85</v>
      </c>
      <c r="Q35" s="5">
        <v>130.28372</v>
      </c>
      <c r="R35" s="5">
        <v>126.36503</v>
      </c>
      <c r="S35" s="5">
        <v>195</v>
      </c>
      <c r="T35" s="7">
        <v>3.07</v>
      </c>
      <c r="U35" s="7">
        <v>3.8317</v>
      </c>
      <c r="V35" s="7">
        <v>5.43493</v>
      </c>
    </row>
    <row r="36" spans="1:22" ht="18" customHeight="1">
      <c r="A36" s="3" t="s">
        <v>205</v>
      </c>
      <c r="B36" s="4">
        <v>0.00656628</v>
      </c>
      <c r="C36" s="4">
        <v>-0.2414041481439072</v>
      </c>
      <c r="D36" s="4">
        <v>-0.2751382986876898</v>
      </c>
      <c r="E36" s="4">
        <v>0.3757904938154173</v>
      </c>
      <c r="F36" s="4">
        <v>0.4124143444688397</v>
      </c>
      <c r="G36" s="4">
        <v>0.8334737150840787</v>
      </c>
      <c r="H36" s="15"/>
      <c r="I36" s="6">
        <v>469.0549926757812</v>
      </c>
      <c r="J36" s="7">
        <v>40.85845</v>
      </c>
      <c r="K36" s="7">
        <v>21.410597</v>
      </c>
      <c r="L36" s="4">
        <v>0.971502164347936</v>
      </c>
      <c r="M36" s="4">
        <v>0.65279996</v>
      </c>
      <c r="N36" s="4">
        <v>0.2379</v>
      </c>
      <c r="O36" s="3" t="s">
        <v>205</v>
      </c>
      <c r="P36" s="5">
        <v>340</v>
      </c>
      <c r="Q36" s="5">
        <v>645.3214</v>
      </c>
      <c r="R36" s="5">
        <v>662.5</v>
      </c>
      <c r="S36" s="5">
        <v>860</v>
      </c>
      <c r="T36" s="7">
        <v>9.75</v>
      </c>
      <c r="U36" s="7">
        <v>16.16607</v>
      </c>
      <c r="V36" s="7">
        <v>21.07667</v>
      </c>
    </row>
    <row r="37" spans="1:22" ht="18" customHeight="1">
      <c r="A37" s="3" t="s">
        <v>179</v>
      </c>
      <c r="B37" s="4">
        <v>0.00638673</v>
      </c>
      <c r="C37" s="4">
        <v>0.3481427105471708</v>
      </c>
      <c r="D37" s="4">
        <v>-0.4170979220641319</v>
      </c>
      <c r="E37" s="4">
        <v>0.07365250274362678</v>
      </c>
      <c r="F37" s="4">
        <v>0.1219492944022518</v>
      </c>
      <c r="G37" s="4">
        <v>0.2944089075274379</v>
      </c>
      <c r="H37" s="15"/>
      <c r="I37" s="6">
        <v>1563.4599609375</v>
      </c>
      <c r="J37" s="7">
        <v>51.412693</v>
      </c>
      <c r="K37" s="7">
        <v>32.43096</v>
      </c>
      <c r="L37" s="4">
        <v>0.5420511639798349</v>
      </c>
      <c r="M37" s="4">
        <v>0.2711</v>
      </c>
      <c r="N37" s="4">
        <v>0.3022</v>
      </c>
      <c r="O37" s="3" t="s">
        <v>179</v>
      </c>
      <c r="P37" s="5">
        <v>911.34406</v>
      </c>
      <c r="Q37" s="5">
        <v>1678.6127</v>
      </c>
      <c r="R37" s="5">
        <v>1754.1228</v>
      </c>
      <c r="S37" s="5">
        <v>2023.7565</v>
      </c>
      <c r="T37" s="7">
        <v>26.26</v>
      </c>
      <c r="U37" s="7">
        <v>31.40828</v>
      </c>
      <c r="V37" s="7">
        <v>40.90003</v>
      </c>
    </row>
    <row r="38" spans="1:22" ht="18" customHeight="1">
      <c r="A38" s="3" t="s">
        <v>249</v>
      </c>
      <c r="B38" s="4">
        <v>0.006182790000000001</v>
      </c>
      <c r="C38" s="4">
        <v>0.1272760892747906</v>
      </c>
      <c r="D38" s="4">
        <v>-0.09885309075201554</v>
      </c>
      <c r="E38" s="4">
        <v>0.1282486738701225</v>
      </c>
      <c r="F38" s="4">
        <v>0.1126433581002766</v>
      </c>
      <c r="G38" s="4">
        <v>0.3380666228227649</v>
      </c>
      <c r="H38" s="15"/>
      <c r="I38" s="6">
        <v>219.7200012207031</v>
      </c>
      <c r="J38" s="7">
        <v>35.043064</v>
      </c>
      <c r="K38" s="7">
        <v>19.14591</v>
      </c>
      <c r="L38" s="4">
        <v>-0.06212463068488006</v>
      </c>
      <c r="M38" s="4">
        <v>0.0764</v>
      </c>
      <c r="N38" s="4">
        <v>0.090100005</v>
      </c>
      <c r="O38" s="3" t="s">
        <v>249</v>
      </c>
      <c r="P38" s="5">
        <v>198</v>
      </c>
      <c r="Q38" s="5">
        <v>247.8988</v>
      </c>
      <c r="R38" s="5">
        <v>244.47</v>
      </c>
      <c r="S38" s="5">
        <v>294</v>
      </c>
      <c r="T38" s="7">
        <v>7.36</v>
      </c>
      <c r="U38" s="7">
        <v>10.5273</v>
      </c>
      <c r="V38" s="7">
        <v>11.47608</v>
      </c>
    </row>
    <row r="39" spans="1:22" ht="18" customHeight="1">
      <c r="A39" s="3" t="s">
        <v>250</v>
      </c>
      <c r="B39" s="4">
        <v>0.00617785</v>
      </c>
      <c r="C39" s="4">
        <v>-0.3461513635019271</v>
      </c>
      <c r="D39" s="4">
        <v>0.0215498006418533</v>
      </c>
      <c r="E39" s="4">
        <v>0.4926518901955104</v>
      </c>
      <c r="F39" s="4">
        <v>0.4593568580597904</v>
      </c>
      <c r="G39" s="4">
        <v>0.9458091440797207</v>
      </c>
      <c r="H39" s="15"/>
      <c r="I39" s="6">
        <v>102.7850036621094</v>
      </c>
      <c r="J39" s="7">
        <v>100.769615</v>
      </c>
      <c r="K39" s="7">
        <v>44.261906</v>
      </c>
      <c r="L39" s="4">
        <v>0.4969776159961721</v>
      </c>
      <c r="M39" s="4">
        <v>0.2753</v>
      </c>
      <c r="N39" s="4">
        <v>0.2733</v>
      </c>
      <c r="O39" s="3" t="s">
        <v>250</v>
      </c>
      <c r="P39" s="5">
        <v>105</v>
      </c>
      <c r="Q39" s="5">
        <v>153.42223</v>
      </c>
      <c r="R39" s="5">
        <v>150</v>
      </c>
      <c r="S39" s="5">
        <v>200</v>
      </c>
      <c r="T39" s="7">
        <v>1.559579</v>
      </c>
      <c r="U39" s="7">
        <v>1.82373</v>
      </c>
      <c r="V39" s="7">
        <v>2.3222</v>
      </c>
    </row>
    <row r="40" spans="1:22" ht="18" customHeight="1">
      <c r="A40" s="3" t="s">
        <v>204</v>
      </c>
      <c r="B40" s="4">
        <v>0.006072109999999999</v>
      </c>
      <c r="C40" s="4">
        <v>0.1888310693418092</v>
      </c>
      <c r="D40" s="4">
        <v>-0.3175453640761974</v>
      </c>
      <c r="E40" s="4">
        <v>-0.08537259079832982</v>
      </c>
      <c r="F40" s="4">
        <v>-0.0727518533643986</v>
      </c>
      <c r="G40" s="4">
        <v>0.3092743830494693</v>
      </c>
      <c r="H40" s="15"/>
      <c r="I40" s="6">
        <v>539.22998046875</v>
      </c>
      <c r="J40" s="9" t="s">
        <v>79</v>
      </c>
      <c r="K40" s="7">
        <v>87.42323</v>
      </c>
      <c r="L40" s="4">
        <v>0.3495710678525419</v>
      </c>
      <c r="M40" s="4">
        <v>0.3014</v>
      </c>
      <c r="N40" s="4">
        <v>0.2707</v>
      </c>
      <c r="O40" s="3" t="s">
        <v>204</v>
      </c>
      <c r="P40" s="5">
        <v>368</v>
      </c>
      <c r="Q40" s="5">
        <v>493.19452</v>
      </c>
      <c r="R40" s="5">
        <v>500</v>
      </c>
      <c r="S40" s="5">
        <v>706</v>
      </c>
      <c r="T40" s="7">
        <v>-0.08</v>
      </c>
      <c r="U40" s="7">
        <v>4.85415</v>
      </c>
      <c r="V40" s="7">
        <v>6.16804</v>
      </c>
    </row>
    <row r="41" spans="1:22" ht="18" customHeight="1">
      <c r="A41" s="3" t="s">
        <v>251</v>
      </c>
      <c r="B41" s="4">
        <v>0.00599631</v>
      </c>
      <c r="C41" s="4">
        <v>-0.2611206973825744</v>
      </c>
      <c r="D41" s="4">
        <v>0.114862703950332</v>
      </c>
      <c r="E41" s="4">
        <v>0.4296089587492635</v>
      </c>
      <c r="F41" s="4">
        <v>0.4015416849661317</v>
      </c>
      <c r="G41" s="4">
        <v>0.8984519187268512</v>
      </c>
      <c r="H41" s="15"/>
      <c r="I41" s="6">
        <v>156.9700012207031</v>
      </c>
      <c r="J41" s="7">
        <v>20.708443</v>
      </c>
      <c r="K41" s="7">
        <v>12.757587</v>
      </c>
      <c r="L41" s="4">
        <v>0.09539159244714623</v>
      </c>
      <c r="M41" s="4">
        <v>0.146</v>
      </c>
      <c r="N41" s="4">
        <v>0.1769</v>
      </c>
      <c r="O41" s="3" t="s">
        <v>251</v>
      </c>
      <c r="P41" s="5">
        <v>175</v>
      </c>
      <c r="Q41" s="5">
        <v>224.40572</v>
      </c>
      <c r="R41" s="5">
        <v>220</v>
      </c>
      <c r="S41" s="5">
        <v>298</v>
      </c>
      <c r="T41" s="7">
        <v>6.6228</v>
      </c>
      <c r="U41" s="7">
        <v>10.4546</v>
      </c>
      <c r="V41" s="7">
        <v>12.30405</v>
      </c>
    </row>
    <row r="42" spans="1:22" ht="18" customHeight="1">
      <c r="A42" s="3" t="s">
        <v>252</v>
      </c>
      <c r="B42" s="4">
        <v>0.00545585</v>
      </c>
      <c r="C42" s="4">
        <v>0.2636046348835404</v>
      </c>
      <c r="D42" s="4">
        <v>-0.2411667281553271</v>
      </c>
      <c r="E42" s="4">
        <v>0.00182733642556876</v>
      </c>
      <c r="F42" s="4">
        <v>0.02442491699030835</v>
      </c>
      <c r="G42" s="4">
        <v>0.2995019780340022</v>
      </c>
      <c r="H42" s="15"/>
      <c r="I42" s="6">
        <v>105.4250030517578</v>
      </c>
      <c r="J42" s="7">
        <v>80.477104</v>
      </c>
      <c r="K42" s="7">
        <v>34.976696</v>
      </c>
      <c r="L42" s="4">
        <v>-0.06210583974846606</v>
      </c>
      <c r="M42" s="4">
        <v>0.1197</v>
      </c>
      <c r="N42" s="4">
        <v>0.2638</v>
      </c>
      <c r="O42" s="3" t="s">
        <v>252</v>
      </c>
      <c r="P42" s="5">
        <v>80</v>
      </c>
      <c r="Q42" s="5">
        <v>105.61765</v>
      </c>
      <c r="R42" s="5">
        <v>108</v>
      </c>
      <c r="S42" s="5">
        <v>137</v>
      </c>
      <c r="T42" s="7">
        <v>1.63</v>
      </c>
      <c r="U42" s="7">
        <v>2.3849</v>
      </c>
      <c r="V42" s="7">
        <v>3.01415</v>
      </c>
    </row>
    <row r="43" spans="1:22" ht="18" customHeight="1">
      <c r="A43" s="3" t="s">
        <v>253</v>
      </c>
      <c r="B43" s="4">
        <v>0.00501609</v>
      </c>
      <c r="C43" s="4">
        <v>-0.1827697933596374</v>
      </c>
      <c r="D43" s="4">
        <v>-0.08868891417925429</v>
      </c>
      <c r="E43" s="4">
        <v>0.2300742547768009</v>
      </c>
      <c r="F43" s="4">
        <v>0.2729583999808876</v>
      </c>
      <c r="G43" s="4">
        <v>0.4753604583221325</v>
      </c>
      <c r="H43" s="15"/>
      <c r="I43" s="6">
        <v>298.9100036621094</v>
      </c>
      <c r="J43" s="7">
        <v>40.338734</v>
      </c>
      <c r="K43" s="7">
        <v>22.000612</v>
      </c>
      <c r="L43" s="4">
        <v>0.4643410999019715</v>
      </c>
      <c r="M43" s="4">
        <v>0.237</v>
      </c>
      <c r="N43" s="4">
        <v>0.1697</v>
      </c>
      <c r="O43" s="3" t="s">
        <v>253</v>
      </c>
      <c r="P43" s="5">
        <v>272.4</v>
      </c>
      <c r="Q43" s="5">
        <v>367.6815</v>
      </c>
      <c r="R43" s="5">
        <v>380.5</v>
      </c>
      <c r="S43" s="5">
        <v>441</v>
      </c>
      <c r="T43" s="7">
        <v>7.4</v>
      </c>
      <c r="U43" s="7">
        <v>11.61563</v>
      </c>
      <c r="V43" s="7">
        <v>13.58644</v>
      </c>
    </row>
    <row r="44" spans="1:22" ht="18" customHeight="1">
      <c r="A44" s="3" t="s">
        <v>207</v>
      </c>
      <c r="B44" s="4">
        <v>0.005001879999999999</v>
      </c>
      <c r="C44" s="4">
        <v>-0.3762524360773308</v>
      </c>
      <c r="D44" s="4">
        <v>0.08780504493960217</v>
      </c>
      <c r="E44" s="4">
        <v>0.5206483033118907</v>
      </c>
      <c r="F44" s="4">
        <v>0.510129356504389</v>
      </c>
      <c r="G44" s="4">
        <v>1.344539814505119</v>
      </c>
      <c r="H44" s="15"/>
      <c r="I44" s="6">
        <v>390.6950073242188</v>
      </c>
      <c r="J44" s="7">
        <v>25.402796</v>
      </c>
      <c r="K44" s="7">
        <v>14.752332</v>
      </c>
      <c r="L44" s="4">
        <v>0.07066102085416048</v>
      </c>
      <c r="M44" s="4">
        <v>0.1526</v>
      </c>
      <c r="N44" s="4">
        <v>0.14029999</v>
      </c>
      <c r="O44" s="3" t="s">
        <v>207</v>
      </c>
      <c r="P44" s="5">
        <v>425</v>
      </c>
      <c r="Q44" s="5">
        <v>594.1097</v>
      </c>
      <c r="R44" s="5">
        <v>590</v>
      </c>
      <c r="S44" s="5">
        <v>916</v>
      </c>
      <c r="T44" s="7">
        <v>13.67</v>
      </c>
      <c r="U44" s="7">
        <v>23.2242</v>
      </c>
      <c r="V44" s="7">
        <v>26.48361</v>
      </c>
    </row>
    <row r="45" spans="1:22" ht="18" customHeight="1">
      <c r="A45" s="3" t="s">
        <v>254</v>
      </c>
      <c r="B45" s="4">
        <v>0.004983159999999999</v>
      </c>
      <c r="C45" s="4">
        <v>-0.03995532755250009</v>
      </c>
      <c r="D45" s="4">
        <v>-0.2397452037277615</v>
      </c>
      <c r="E45" s="4">
        <v>0.2659394259139243</v>
      </c>
      <c r="F45" s="4">
        <v>0.2889774500433862</v>
      </c>
      <c r="G45" s="4">
        <v>0.4767373466984997</v>
      </c>
      <c r="H45" s="15"/>
      <c r="I45" s="6">
        <v>434.0650024414062</v>
      </c>
      <c r="J45" s="7">
        <v>25.760534</v>
      </c>
      <c r="K45" s="7">
        <v>20.1083</v>
      </c>
      <c r="L45" s="4">
        <v>0.1173106625599507</v>
      </c>
      <c r="M45" s="4">
        <v>0.042</v>
      </c>
      <c r="N45" s="4">
        <v>0.1259</v>
      </c>
      <c r="O45" s="3" t="s">
        <v>254</v>
      </c>
      <c r="P45" s="5">
        <v>330</v>
      </c>
      <c r="Q45" s="5">
        <v>549.5</v>
      </c>
      <c r="R45" s="5">
        <v>559.5</v>
      </c>
      <c r="S45" s="5">
        <v>641</v>
      </c>
      <c r="T45" s="7">
        <v>15.32</v>
      </c>
      <c r="U45" s="7">
        <v>19.17196</v>
      </c>
      <c r="V45" s="7">
        <v>21.58636</v>
      </c>
    </row>
    <row r="46" spans="1:22" ht="18" customHeight="1">
      <c r="A46" s="3" t="s">
        <v>208</v>
      </c>
      <c r="B46" s="4">
        <v>0.00470746</v>
      </c>
      <c r="C46" s="4">
        <v>-0.263681361312939</v>
      </c>
      <c r="D46" s="4">
        <v>-0.1035592526186903</v>
      </c>
      <c r="E46" s="4">
        <v>0.3363282968519883</v>
      </c>
      <c r="F46" s="4">
        <v>0.2825418520091096</v>
      </c>
      <c r="G46" s="4">
        <v>0.9843938362486264</v>
      </c>
      <c r="H46" s="15"/>
      <c r="I46" s="6">
        <v>245.4149932861328</v>
      </c>
      <c r="J46" s="7">
        <v>14.301573</v>
      </c>
      <c r="K46" s="7">
        <v>9.300845000000001</v>
      </c>
      <c r="L46" s="4">
        <v>-0.2063719042304422</v>
      </c>
      <c r="M46" s="4">
        <v>0.1246</v>
      </c>
      <c r="N46" s="4">
        <v>0.1205</v>
      </c>
      <c r="O46" s="3" t="s">
        <v>208</v>
      </c>
      <c r="P46" s="5">
        <v>220</v>
      </c>
      <c r="Q46" s="5">
        <v>327.955</v>
      </c>
      <c r="R46" s="5">
        <v>314.755</v>
      </c>
      <c r="S46" s="5">
        <v>487</v>
      </c>
      <c r="T46" s="7">
        <v>16.7</v>
      </c>
      <c r="U46" s="7">
        <v>23.54855</v>
      </c>
      <c r="V46" s="7">
        <v>26.38631</v>
      </c>
    </row>
    <row r="47" spans="1:22" ht="18" customHeight="1">
      <c r="A47" s="3" t="s">
        <v>198</v>
      </c>
      <c r="B47" s="4">
        <v>0.00457012</v>
      </c>
      <c r="C47" s="4">
        <v>0.1701998006722323</v>
      </c>
      <c r="D47" s="4">
        <v>-0.2429039680579947</v>
      </c>
      <c r="E47" s="4">
        <v>0.04492274459746137</v>
      </c>
      <c r="F47" s="4">
        <v>0.06681713591828009</v>
      </c>
      <c r="G47" s="4">
        <v>0.1700575039103718</v>
      </c>
      <c r="H47" s="15"/>
      <c r="I47" s="6">
        <v>363.2300109863281</v>
      </c>
      <c r="J47" s="7">
        <v>84.86682</v>
      </c>
      <c r="K47" s="7">
        <v>38.721073</v>
      </c>
      <c r="L47" s="4">
        <v>0.05012424486526834</v>
      </c>
      <c r="M47" s="4">
        <v>0.11399999</v>
      </c>
      <c r="N47" s="4">
        <v>0.17940001</v>
      </c>
      <c r="O47" s="3" t="s">
        <v>198</v>
      </c>
      <c r="P47" s="5">
        <v>275</v>
      </c>
      <c r="Q47" s="5">
        <v>379.5473</v>
      </c>
      <c r="R47" s="5">
        <v>387.5</v>
      </c>
      <c r="S47" s="5">
        <v>425</v>
      </c>
      <c r="T47" s="7">
        <v>4.06</v>
      </c>
      <c r="U47" s="7">
        <v>4.49478</v>
      </c>
      <c r="V47" s="7">
        <v>9.38068</v>
      </c>
    </row>
    <row r="48" spans="1:22" ht="18" customHeight="1">
      <c r="A48" s="3" t="s">
        <v>197</v>
      </c>
      <c r="B48" s="4">
        <v>0.00451531</v>
      </c>
      <c r="C48" s="4">
        <v>0.07179126337954878</v>
      </c>
      <c r="D48" s="4">
        <v>-0.2156881376103343</v>
      </c>
      <c r="E48" s="4">
        <v>0.03833316091146766</v>
      </c>
      <c r="F48" s="4">
        <v>0.04872701669040347</v>
      </c>
      <c r="G48" s="4">
        <v>0.2623565941643744</v>
      </c>
      <c r="H48" s="15"/>
      <c r="I48" s="6">
        <v>514.9099731445312</v>
      </c>
      <c r="J48" s="7">
        <v>79.09523</v>
      </c>
      <c r="K48" s="7">
        <v>30.200935</v>
      </c>
      <c r="L48" s="4">
        <v>-0.02699119374271752</v>
      </c>
      <c r="M48" s="4">
        <v>0.1195</v>
      </c>
      <c r="N48" s="4">
        <v>0.17959999</v>
      </c>
      <c r="O48" s="3" t="s">
        <v>197</v>
      </c>
      <c r="P48" s="5">
        <v>403.85</v>
      </c>
      <c r="Q48" s="5">
        <v>534.6481</v>
      </c>
      <c r="R48" s="5">
        <v>540</v>
      </c>
      <c r="S48" s="5">
        <v>650</v>
      </c>
      <c r="T48" s="7">
        <v>8.039999999999999</v>
      </c>
      <c r="U48" s="7">
        <v>14.45319</v>
      </c>
      <c r="V48" s="7">
        <v>17.04947</v>
      </c>
    </row>
    <row r="49" spans="1:22" ht="18" customHeight="1">
      <c r="A49" s="3" t="s">
        <v>255</v>
      </c>
      <c r="B49" s="4">
        <v>0.00427111</v>
      </c>
      <c r="C49" s="4">
        <v>0.1198168002680973</v>
      </c>
      <c r="D49" s="4">
        <v>-0.2234894524277847</v>
      </c>
      <c r="E49" s="4">
        <v>0.07686123030222936</v>
      </c>
      <c r="F49" s="4">
        <v>0.1005324120922391</v>
      </c>
      <c r="G49" s="4">
        <v>0.2732489125632649</v>
      </c>
      <c r="H49" s="15"/>
      <c r="I49" s="6">
        <v>350.2850036621094</v>
      </c>
      <c r="J49" s="7">
        <v>36.717506</v>
      </c>
      <c r="K49" s="7">
        <v>26.931183</v>
      </c>
      <c r="L49" s="4">
        <v>0.1414410204361269</v>
      </c>
      <c r="M49" s="4">
        <v>0.15439999</v>
      </c>
      <c r="N49" s="4">
        <v>0.1241</v>
      </c>
      <c r="O49" s="3" t="s">
        <v>255</v>
      </c>
      <c r="P49" s="5">
        <v>272</v>
      </c>
      <c r="Q49" s="5">
        <v>377.20834</v>
      </c>
      <c r="R49" s="5">
        <v>385.5</v>
      </c>
      <c r="S49" s="5">
        <v>446</v>
      </c>
      <c r="T49" s="7">
        <v>9.51</v>
      </c>
      <c r="U49" s="7">
        <v>11.56758</v>
      </c>
      <c r="V49" s="7">
        <v>13.00348</v>
      </c>
    </row>
    <row r="50" spans="1:22" ht="18" customHeight="1">
      <c r="A50" s="3" t="s">
        <v>256</v>
      </c>
      <c r="B50" s="4">
        <v>0.00415968</v>
      </c>
      <c r="C50" s="4">
        <v>-0.07818092856987224</v>
      </c>
      <c r="D50" s="4">
        <v>-0.1578102887596619</v>
      </c>
      <c r="E50" s="4">
        <v>0.3186665612289521</v>
      </c>
      <c r="F50" s="4">
        <v>0.3234409748062457</v>
      </c>
      <c r="G50" s="4">
        <v>0.7645879664083275</v>
      </c>
      <c r="H50" s="15"/>
      <c r="I50" s="6">
        <v>24.93499946594238</v>
      </c>
      <c r="J50" s="7">
        <v>4.8892155</v>
      </c>
      <c r="K50" s="7">
        <v>6.5407567</v>
      </c>
      <c r="L50" s="4">
        <v>-0.1710518988526357</v>
      </c>
      <c r="M50" s="4">
        <v>-0.17989999</v>
      </c>
      <c r="N50" s="4">
        <v>0.0785</v>
      </c>
      <c r="O50" s="3" t="s">
        <v>256</v>
      </c>
      <c r="P50" s="5">
        <v>21</v>
      </c>
      <c r="Q50" s="5">
        <v>32.88095</v>
      </c>
      <c r="R50" s="5">
        <v>33</v>
      </c>
      <c r="S50" s="5">
        <v>44</v>
      </c>
      <c r="T50" s="7">
        <v>5.39</v>
      </c>
      <c r="U50" s="7">
        <v>3.53477</v>
      </c>
      <c r="V50" s="7">
        <v>3.81225</v>
      </c>
    </row>
    <row r="51" spans="1:22" ht="18" customHeight="1">
      <c r="A51" s="3" t="s">
        <v>257</v>
      </c>
      <c r="B51" s="4">
        <v>0.00391395</v>
      </c>
      <c r="C51" s="4">
        <v>-0.1597547231281258</v>
      </c>
      <c r="D51" s="4">
        <v>-0.09841513216548159</v>
      </c>
      <c r="E51" s="4">
        <v>0.1600392124310253</v>
      </c>
      <c r="F51" s="4">
        <v>0.1388440435804443</v>
      </c>
      <c r="G51" s="4">
        <v>0.4472809720501478</v>
      </c>
      <c r="H51" s="15"/>
      <c r="I51" s="6">
        <v>210.7400054931641</v>
      </c>
      <c r="J51" s="7">
        <v>19.676937</v>
      </c>
      <c r="K51" s="7">
        <v>17.337437</v>
      </c>
      <c r="L51" s="4">
        <v>-0.09224449233778875</v>
      </c>
      <c r="M51" s="4">
        <v>0.10560001</v>
      </c>
      <c r="N51" s="4">
        <v>0.09810001</v>
      </c>
      <c r="O51" s="3" t="s">
        <v>257</v>
      </c>
      <c r="P51" s="5">
        <v>190</v>
      </c>
      <c r="Q51" s="5">
        <v>244.46667</v>
      </c>
      <c r="R51" s="5">
        <v>240</v>
      </c>
      <c r="S51" s="5">
        <v>305</v>
      </c>
      <c r="T51" s="7">
        <v>9.98</v>
      </c>
      <c r="U51" s="7">
        <v>11.06751</v>
      </c>
      <c r="V51" s="7">
        <v>12.15269</v>
      </c>
    </row>
    <row r="52" spans="1:22" ht="18" customHeight="1">
      <c r="A52" s="3" t="s">
        <v>114</v>
      </c>
      <c r="B52" s="4">
        <v>0.00385252</v>
      </c>
      <c r="C52" s="4">
        <v>0.1202730513689834</v>
      </c>
      <c r="D52" s="4">
        <v>-0.2498827915035442</v>
      </c>
      <c r="E52" s="4">
        <v>0.03071812370546434</v>
      </c>
      <c r="F52" s="4">
        <v>0.05485232444814092</v>
      </c>
      <c r="G52" s="4">
        <v>0.1954993010412263</v>
      </c>
      <c r="H52" s="15"/>
      <c r="I52" s="6">
        <v>85.31999969482422</v>
      </c>
      <c r="J52" s="7">
        <v>41.217392</v>
      </c>
      <c r="K52" s="7">
        <v>33.249416</v>
      </c>
      <c r="L52" s="4">
        <v>0.4656852639291322</v>
      </c>
      <c r="M52" s="4">
        <v>0.14729999</v>
      </c>
      <c r="N52" s="4">
        <v>0.12560001</v>
      </c>
      <c r="O52" s="3" t="s">
        <v>114</v>
      </c>
      <c r="P52" s="5">
        <v>64</v>
      </c>
      <c r="Q52" s="5">
        <v>87.94087</v>
      </c>
      <c r="R52" s="5">
        <v>90</v>
      </c>
      <c r="S52" s="5">
        <v>102</v>
      </c>
      <c r="T52" s="7">
        <v>1.94</v>
      </c>
      <c r="U52" s="7">
        <v>2.27211</v>
      </c>
      <c r="V52" s="7">
        <v>2.54588</v>
      </c>
    </row>
    <row r="53" spans="1:22" ht="18" customHeight="1">
      <c r="A53" s="3" t="s">
        <v>211</v>
      </c>
      <c r="B53" s="4">
        <v>0.00385197</v>
      </c>
      <c r="C53" s="4">
        <v>0.4720724279177464</v>
      </c>
      <c r="D53" s="4">
        <v>-0.3894194945293888</v>
      </c>
      <c r="E53" s="4">
        <v>-0.07976795246929325</v>
      </c>
      <c r="F53" s="4">
        <v>-0.04923892719576273</v>
      </c>
      <c r="G53" s="4">
        <v>0.1339352244454206</v>
      </c>
      <c r="H53" s="15"/>
      <c r="I53" s="6">
        <v>114.6449966430664</v>
      </c>
      <c r="J53" s="7">
        <v>44.436047</v>
      </c>
      <c r="K53" s="7">
        <v>33.524673</v>
      </c>
      <c r="L53" s="4">
        <v>-0.1618996974975264</v>
      </c>
      <c r="M53" s="4">
        <v>0.1362</v>
      </c>
      <c r="N53" s="4">
        <v>0.09050000499999999</v>
      </c>
      <c r="O53" s="3" t="s">
        <v>211</v>
      </c>
      <c r="P53" s="5">
        <v>70</v>
      </c>
      <c r="Q53" s="5">
        <v>105.5</v>
      </c>
      <c r="R53" s="5">
        <v>109</v>
      </c>
      <c r="S53" s="5">
        <v>130</v>
      </c>
      <c r="T53" s="7">
        <v>2.42</v>
      </c>
      <c r="U53" s="7">
        <v>3.13604</v>
      </c>
      <c r="V53" s="7">
        <v>3.41972</v>
      </c>
    </row>
    <row r="54" spans="1:22" ht="18" customHeight="1">
      <c r="A54" s="3" t="s">
        <v>258</v>
      </c>
      <c r="B54" s="4">
        <v>0.00380455</v>
      </c>
      <c r="C54" s="4">
        <v>0.2362055864492827</v>
      </c>
      <c r="D54" s="4">
        <v>-0.3287088627908237</v>
      </c>
      <c r="E54" s="4">
        <v>0.0190978160554458</v>
      </c>
      <c r="F54" s="4">
        <v>0.05168944829437616</v>
      </c>
      <c r="G54" s="4">
        <v>0.1635713044959055</v>
      </c>
      <c r="H54" s="15"/>
      <c r="I54" s="6">
        <v>44.68999862670898</v>
      </c>
      <c r="J54" s="7">
        <v>27.417177</v>
      </c>
      <c r="K54" s="7">
        <v>20.764412</v>
      </c>
      <c r="L54" s="4">
        <v>0.1452344556010559</v>
      </c>
      <c r="M54" s="4">
        <v>0.18020001</v>
      </c>
      <c r="N54" s="4">
        <v>0.13270001</v>
      </c>
      <c r="O54" s="3" t="s">
        <v>258</v>
      </c>
      <c r="P54" s="5">
        <v>30</v>
      </c>
      <c r="Q54" s="5">
        <v>45.54348</v>
      </c>
      <c r="R54" s="5">
        <v>47</v>
      </c>
      <c r="S54" s="5">
        <v>52</v>
      </c>
      <c r="T54" s="7">
        <v>1.54</v>
      </c>
      <c r="U54" s="7">
        <v>1.90013</v>
      </c>
      <c r="V54" s="7">
        <v>2.15224</v>
      </c>
    </row>
    <row r="55" spans="1:22" ht="18" customHeight="1">
      <c r="A55" s="3" t="s">
        <v>259</v>
      </c>
      <c r="B55" s="4">
        <v>0.00377725</v>
      </c>
      <c r="C55" s="4">
        <v>-0.2196483296275795</v>
      </c>
      <c r="D55" s="4">
        <v>0.1686945274112903</v>
      </c>
      <c r="E55" s="4">
        <v>0.5231206210908879</v>
      </c>
      <c r="F55" s="4">
        <v>0.5452738751327062</v>
      </c>
      <c r="G55" s="4">
        <v>1.272461581077509</v>
      </c>
      <c r="H55" s="15"/>
      <c r="I55" s="6">
        <v>1540.180053710938</v>
      </c>
      <c r="J55" s="7">
        <v>40.67019</v>
      </c>
      <c r="K55" s="7">
        <v>24.080345</v>
      </c>
      <c r="L55" s="4">
        <v>0.1412238015669263</v>
      </c>
      <c r="M55" s="4">
        <v>0.1382</v>
      </c>
      <c r="N55" s="4">
        <v>0.42630002</v>
      </c>
      <c r="O55" s="3" t="s">
        <v>259</v>
      </c>
      <c r="P55" s="5">
        <v>1800</v>
      </c>
      <c r="Q55" s="5">
        <v>2345.88</v>
      </c>
      <c r="R55" s="5">
        <v>2380</v>
      </c>
      <c r="S55" s="5">
        <v>3500</v>
      </c>
      <c r="T55" s="7">
        <v>39.4</v>
      </c>
      <c r="U55" s="7">
        <v>44.93015</v>
      </c>
      <c r="V55" s="7">
        <v>64.10901</v>
      </c>
    </row>
    <row r="56" spans="1:22" ht="18" customHeight="1">
      <c r="A56" s="3" t="s">
        <v>260</v>
      </c>
      <c r="B56" s="4">
        <v>0.00360071</v>
      </c>
      <c r="C56" s="4">
        <v>0.1513553637390848</v>
      </c>
      <c r="D56" s="4">
        <v>-0.1018942114213055</v>
      </c>
      <c r="E56" s="4">
        <v>0.09732198168160511</v>
      </c>
      <c r="F56" s="4">
        <v>0.09405614245040961</v>
      </c>
      <c r="G56" s="4">
        <v>0.2246897116982198</v>
      </c>
      <c r="H56" s="15"/>
      <c r="I56" s="6">
        <v>61.2400016784668</v>
      </c>
      <c r="J56" s="7">
        <v>30.316833</v>
      </c>
      <c r="K56" s="7">
        <v>18.066868</v>
      </c>
      <c r="L56" s="4">
        <v>-0.06671318618090238</v>
      </c>
      <c r="M56" s="4">
        <v>0.0466</v>
      </c>
      <c r="N56" s="4">
        <v>0.1092</v>
      </c>
      <c r="O56" s="3" t="s">
        <v>260</v>
      </c>
      <c r="P56" s="5">
        <v>55</v>
      </c>
      <c r="Q56" s="5">
        <v>67.2</v>
      </c>
      <c r="R56" s="5">
        <v>67</v>
      </c>
      <c r="S56" s="5">
        <v>75</v>
      </c>
      <c r="T56" s="7">
        <v>1.89</v>
      </c>
      <c r="U56" s="7">
        <v>3.05601</v>
      </c>
      <c r="V56" s="7">
        <v>3.38963</v>
      </c>
    </row>
    <row r="57" spans="1:22" ht="18" customHeight="1">
      <c r="A57" s="3" t="s">
        <v>123</v>
      </c>
      <c r="B57" s="4">
        <v>0.00358845</v>
      </c>
      <c r="C57" s="4">
        <v>0.7654443590530411</v>
      </c>
      <c r="D57" s="4">
        <v>-0.09074650318849187</v>
      </c>
      <c r="E57" s="4">
        <v>0.08937225011308336</v>
      </c>
      <c r="F57" s="4">
        <v>0.09868130864723912</v>
      </c>
      <c r="G57" s="4">
        <v>0.2123379957486775</v>
      </c>
      <c r="H57" s="15"/>
      <c r="I57" s="6">
        <v>1649.704956054688</v>
      </c>
      <c r="J57" s="7">
        <v>118.42821</v>
      </c>
      <c r="K57" s="7">
        <v>54.70051</v>
      </c>
      <c r="L57" s="4">
        <v>0.5379549276510605</v>
      </c>
      <c r="M57" s="4">
        <v>0.3518</v>
      </c>
      <c r="N57" s="4">
        <v>0.2555</v>
      </c>
      <c r="O57" s="3" t="s">
        <v>123</v>
      </c>
      <c r="P57" s="5">
        <v>1500</v>
      </c>
      <c r="Q57" s="5">
        <v>1797.1428</v>
      </c>
      <c r="R57" s="5">
        <v>1812.5</v>
      </c>
      <c r="S57" s="5">
        <v>2000</v>
      </c>
      <c r="T57" s="7">
        <v>12.86</v>
      </c>
      <c r="U57" s="7">
        <v>24.02205</v>
      </c>
      <c r="V57" s="7">
        <v>30.15886</v>
      </c>
    </row>
    <row r="58" spans="1:22" ht="18" customHeight="1">
      <c r="A58" s="3" t="s">
        <v>261</v>
      </c>
      <c r="B58" s="4">
        <v>0.00355727</v>
      </c>
      <c r="C58" s="4">
        <v>0.003652887363648105</v>
      </c>
      <c r="D58" s="4">
        <v>-0.2942214403990574</v>
      </c>
      <c r="E58" s="4">
        <v>0.2038671110786161</v>
      </c>
      <c r="F58" s="4">
        <v>0.2130568993141202</v>
      </c>
      <c r="G58" s="4">
        <v>0.3233347992517674</v>
      </c>
      <c r="H58" s="15"/>
      <c r="I58" s="6">
        <v>90.68000030517578</v>
      </c>
      <c r="J58" s="7">
        <v>29.53746</v>
      </c>
      <c r="K58" s="7">
        <v>25.100061</v>
      </c>
      <c r="L58" s="4">
        <v>0.1519226336934669</v>
      </c>
      <c r="M58" s="4">
        <v>0.0954</v>
      </c>
      <c r="N58" s="4">
        <v>0.1104</v>
      </c>
      <c r="O58" s="3" t="s">
        <v>261</v>
      </c>
      <c r="P58" s="5">
        <v>64</v>
      </c>
      <c r="Q58" s="5">
        <v>109.16667</v>
      </c>
      <c r="R58" s="5">
        <v>110</v>
      </c>
      <c r="S58" s="5">
        <v>120</v>
      </c>
      <c r="T58" s="7">
        <v>2.97</v>
      </c>
      <c r="U58" s="7">
        <v>3.2549</v>
      </c>
      <c r="V58" s="7">
        <v>3.61459</v>
      </c>
    </row>
    <row r="59" spans="1:22" ht="18" customHeight="1">
      <c r="A59" s="3" t="s">
        <v>184</v>
      </c>
      <c r="B59" s="4">
        <v>0.00339916</v>
      </c>
      <c r="C59" s="4">
        <v>0.3665093359406788</v>
      </c>
      <c r="D59" s="4">
        <v>-0.3351506045791584</v>
      </c>
      <c r="E59" s="4">
        <v>-0.01269864780005014</v>
      </c>
      <c r="F59" s="4">
        <v>-0.002725906868737527</v>
      </c>
      <c r="G59" s="4">
        <v>0.146865207100952</v>
      </c>
      <c r="H59" s="15"/>
      <c r="I59" s="6">
        <v>300.8200073242188</v>
      </c>
      <c r="J59" s="7">
        <v>28.759083</v>
      </c>
      <c r="K59" s="7">
        <v>17.07496</v>
      </c>
      <c r="L59" s="4">
        <v>0.07239398214187198</v>
      </c>
      <c r="M59" s="4">
        <v>0.2494</v>
      </c>
      <c r="N59" s="4">
        <v>0.19389999</v>
      </c>
      <c r="O59" s="3" t="s">
        <v>184</v>
      </c>
      <c r="P59" s="5">
        <v>200</v>
      </c>
      <c r="Q59" s="5">
        <v>297</v>
      </c>
      <c r="R59" s="5">
        <v>300</v>
      </c>
      <c r="S59" s="5">
        <v>345</v>
      </c>
      <c r="T59" s="7">
        <v>7.95</v>
      </c>
      <c r="U59" s="7">
        <v>14.7559</v>
      </c>
      <c r="V59" s="7">
        <v>17.61761</v>
      </c>
    </row>
    <row r="60" spans="1:22" ht="18" customHeight="1">
      <c r="A60" s="3" t="s">
        <v>262</v>
      </c>
      <c r="B60" s="4">
        <v>0.0033899</v>
      </c>
      <c r="C60" s="4">
        <v>-0.09338974802936639</v>
      </c>
      <c r="D60" s="4">
        <v>0.03845848955738984</v>
      </c>
      <c r="E60" s="4">
        <v>0.2451630828854379</v>
      </c>
      <c r="F60" s="4">
        <v>0.2553967356635567</v>
      </c>
      <c r="G60" s="4">
        <v>0.5036309910440562</v>
      </c>
      <c r="H60" s="15"/>
      <c r="I60" s="6">
        <v>702.9650268554688</v>
      </c>
      <c r="J60" s="7">
        <v>17.162233</v>
      </c>
      <c r="K60" s="7">
        <v>13.0642395</v>
      </c>
      <c r="L60" s="4">
        <v>0.08523733437534342</v>
      </c>
      <c r="M60" s="4">
        <v>0.0495</v>
      </c>
      <c r="N60" s="4">
        <v>0.1583</v>
      </c>
      <c r="O60" s="3" t="s">
        <v>262</v>
      </c>
      <c r="P60" s="5">
        <v>730</v>
      </c>
      <c r="Q60" s="5">
        <v>875.3061</v>
      </c>
      <c r="R60" s="5">
        <v>882.5</v>
      </c>
      <c r="S60" s="5">
        <v>1057</v>
      </c>
      <c r="T60" s="7">
        <v>41.48</v>
      </c>
      <c r="U60" s="7">
        <v>46.50304</v>
      </c>
      <c r="V60" s="7">
        <v>48.19885</v>
      </c>
    </row>
    <row r="61" spans="1:22" ht="18" customHeight="1">
      <c r="A61" s="3" t="s">
        <v>263</v>
      </c>
      <c r="B61" s="4">
        <v>0.00333325</v>
      </c>
      <c r="C61" s="4">
        <v>0.1676835707373958</v>
      </c>
      <c r="D61" s="4">
        <v>-0.2579720779844323</v>
      </c>
      <c r="E61" s="4">
        <v>0.1054102667367989</v>
      </c>
      <c r="F61" s="4">
        <v>0.1271310207831406</v>
      </c>
      <c r="G61" s="4">
        <v>0.3619499834462951</v>
      </c>
      <c r="H61" s="15"/>
      <c r="I61" s="6">
        <v>212.9299926757812</v>
      </c>
      <c r="J61" s="7">
        <v>32.164654</v>
      </c>
      <c r="K61" s="7">
        <v>26.090078</v>
      </c>
      <c r="L61" s="4">
        <v>0.1935706799874855</v>
      </c>
      <c r="M61" s="4">
        <v>0.1165</v>
      </c>
      <c r="N61" s="4">
        <v>0.105900005</v>
      </c>
      <c r="O61" s="3" t="s">
        <v>263</v>
      </c>
      <c r="P61" s="5">
        <v>158</v>
      </c>
      <c r="Q61" s="5">
        <v>235.375</v>
      </c>
      <c r="R61" s="5">
        <v>240</v>
      </c>
      <c r="S61" s="5">
        <v>290</v>
      </c>
      <c r="T61" s="7">
        <v>6.61</v>
      </c>
      <c r="U61" s="7">
        <v>7.37255</v>
      </c>
      <c r="V61" s="7">
        <v>8.144220000000001</v>
      </c>
    </row>
    <row r="62" spans="1:22" ht="18" customHeight="1">
      <c r="A62" s="3" t="s">
        <v>125</v>
      </c>
      <c r="B62" s="4">
        <v>0.00323628</v>
      </c>
      <c r="C62" s="4">
        <v>0.1418121838713149</v>
      </c>
      <c r="D62" s="4">
        <v>0.005758157389635254</v>
      </c>
      <c r="E62" s="4">
        <v>0.1081253742802302</v>
      </c>
      <c r="F62" s="4">
        <v>0.1055662188099808</v>
      </c>
      <c r="G62" s="4">
        <v>0.2975047984644914</v>
      </c>
      <c r="H62" s="15"/>
      <c r="I62" s="6">
        <v>130.25</v>
      </c>
      <c r="J62" s="7">
        <v>19.267752</v>
      </c>
      <c r="K62" s="7">
        <v>18.91574</v>
      </c>
      <c r="L62" s="4">
        <v>0.2978958405639758</v>
      </c>
      <c r="M62" s="4">
        <v>0.06809999999999999</v>
      </c>
      <c r="N62" s="4">
        <v>0.0799</v>
      </c>
      <c r="O62" s="3" t="s">
        <v>125</v>
      </c>
      <c r="P62" s="5">
        <v>131</v>
      </c>
      <c r="Q62" s="5">
        <v>144.33333</v>
      </c>
      <c r="R62" s="5">
        <v>144</v>
      </c>
      <c r="S62" s="5">
        <v>169</v>
      </c>
      <c r="T62" s="7">
        <v>6.66</v>
      </c>
      <c r="U62" s="7">
        <v>6.37627</v>
      </c>
      <c r="V62" s="7">
        <v>6.8858</v>
      </c>
    </row>
    <row r="63" spans="1:22" ht="18" customHeight="1">
      <c r="A63" s="3" t="s">
        <v>264</v>
      </c>
      <c r="B63" s="4">
        <v>0.00306827</v>
      </c>
      <c r="C63" s="4">
        <v>-0.04700105723711689</v>
      </c>
      <c r="D63" s="4">
        <v>-0.04306220364403979</v>
      </c>
      <c r="E63" s="4">
        <v>0.09112366274397754</v>
      </c>
      <c r="F63" s="4">
        <v>0.1409642956551833</v>
      </c>
      <c r="G63" s="4">
        <v>0.1501656206201445</v>
      </c>
      <c r="H63" s="15"/>
      <c r="I63" s="6">
        <v>27.17000007629395</v>
      </c>
      <c r="J63" s="9" t="s">
        <v>79</v>
      </c>
      <c r="K63" s="7">
        <v>1811.3334</v>
      </c>
      <c r="L63" s="4">
        <v>1.703564738025841</v>
      </c>
      <c r="M63" s="4">
        <v>-0.053319</v>
      </c>
      <c r="N63" s="4">
        <v>1.0119001</v>
      </c>
      <c r="O63" s="3" t="s">
        <v>264</v>
      </c>
      <c r="P63" s="5">
        <v>26</v>
      </c>
      <c r="Q63" s="5">
        <v>29.64583</v>
      </c>
      <c r="R63" s="5">
        <v>31</v>
      </c>
      <c r="S63" s="5">
        <v>31.25</v>
      </c>
      <c r="T63" s="7">
        <v>0.29</v>
      </c>
      <c r="U63" s="7">
        <v>-1.23752</v>
      </c>
      <c r="V63" s="7">
        <v>0.008109999999999999</v>
      </c>
    </row>
    <row r="64" spans="1:22" ht="18" customHeight="1">
      <c r="A64" s="3" t="s">
        <v>265</v>
      </c>
      <c r="B64" s="4">
        <v>0.00306714</v>
      </c>
      <c r="C64" s="4">
        <v>-0.278538549670071</v>
      </c>
      <c r="D64" s="4">
        <v>0.217128026016826</v>
      </c>
      <c r="E64" s="4">
        <v>0.55277674608768</v>
      </c>
      <c r="F64" s="4">
        <v>0.5765907072756813</v>
      </c>
      <c r="G64" s="4">
        <v>1.081099733603899</v>
      </c>
      <c r="H64" s="15"/>
      <c r="I64" s="6">
        <v>158.5700073242188</v>
      </c>
      <c r="J64" s="7">
        <v>75.15166499999999</v>
      </c>
      <c r="K64" s="7">
        <v>20.827534</v>
      </c>
      <c r="L64" s="4">
        <v>0.3271608779835113</v>
      </c>
      <c r="M64" s="4">
        <v>0.0915</v>
      </c>
      <c r="N64" s="4">
        <v>0.3727</v>
      </c>
      <c r="O64" s="3" t="s">
        <v>265</v>
      </c>
      <c r="P64" s="5">
        <v>193</v>
      </c>
      <c r="Q64" s="5">
        <v>246.22382</v>
      </c>
      <c r="R64" s="5">
        <v>250</v>
      </c>
      <c r="S64" s="5">
        <v>330</v>
      </c>
      <c r="T64" s="7">
        <v>0.3</v>
      </c>
      <c r="U64" s="7">
        <v>2.57689</v>
      </c>
      <c r="V64" s="7">
        <v>4.38486</v>
      </c>
    </row>
    <row r="65" spans="1:22" ht="18" customHeight="1">
      <c r="A65" s="3" t="s">
        <v>266</v>
      </c>
      <c r="B65" s="4">
        <v>0.00304722</v>
      </c>
      <c r="C65" s="4">
        <v>-0.1117111123776967</v>
      </c>
      <c r="D65" s="4">
        <v>-0.02349713738236481</v>
      </c>
      <c r="E65" s="4">
        <v>0.2963793230853129</v>
      </c>
      <c r="F65" s="4">
        <v>0.2999694358597269</v>
      </c>
      <c r="G65" s="4">
        <v>0.556301437296856</v>
      </c>
      <c r="H65" s="15"/>
      <c r="I65" s="6">
        <v>163.8500061035156</v>
      </c>
      <c r="J65" s="7">
        <v>34.567513</v>
      </c>
      <c r="K65" s="7">
        <v>30.20349</v>
      </c>
      <c r="L65" s="4">
        <v>0.04129311969041671</v>
      </c>
      <c r="M65" s="4">
        <v>0.1125</v>
      </c>
      <c r="N65" s="4">
        <v>0.1083</v>
      </c>
      <c r="O65" s="3" t="s">
        <v>266</v>
      </c>
      <c r="P65" s="5">
        <v>160</v>
      </c>
      <c r="Q65" s="5">
        <v>212.41176</v>
      </c>
      <c r="R65" s="5">
        <v>213</v>
      </c>
      <c r="S65" s="5">
        <v>255</v>
      </c>
      <c r="T65" s="7">
        <v>4.4</v>
      </c>
      <c r="U65" s="7">
        <v>4.88745</v>
      </c>
      <c r="V65" s="7">
        <v>5.42466</v>
      </c>
    </row>
    <row r="66" spans="1:22" ht="18" customHeight="1">
      <c r="A66" s="3" t="s">
        <v>267</v>
      </c>
      <c r="B66" s="4">
        <v>0.00301109</v>
      </c>
      <c r="C66" s="4">
        <v>-0.147213830803692</v>
      </c>
      <c r="D66" s="4">
        <v>0.1214932734956717</v>
      </c>
      <c r="E66" s="4">
        <v>0.4489768141685533</v>
      </c>
      <c r="F66" s="4">
        <v>0.4611054739913079</v>
      </c>
      <c r="G66" s="4">
        <v>1.101579089495017</v>
      </c>
      <c r="H66" s="15"/>
      <c r="I66" s="6">
        <v>98.70999908447266</v>
      </c>
      <c r="J66" s="7">
        <v>10.18679</v>
      </c>
      <c r="K66" s="7">
        <v>6.9767284</v>
      </c>
      <c r="L66" s="4">
        <v>0.1702962132721701</v>
      </c>
      <c r="M66" s="4">
        <v>0.134</v>
      </c>
      <c r="N66" s="4">
        <v>0.1723</v>
      </c>
      <c r="O66" s="3" t="s">
        <v>267</v>
      </c>
      <c r="P66" s="5">
        <v>110.7026</v>
      </c>
      <c r="Q66" s="5">
        <v>143.0285</v>
      </c>
      <c r="R66" s="5">
        <v>144.22572</v>
      </c>
      <c r="S66" s="5">
        <v>207.44687</v>
      </c>
      <c r="T66" s="7">
        <v>66</v>
      </c>
      <c r="U66" s="7">
        <v>82.07841000000001</v>
      </c>
      <c r="V66" s="7">
        <v>96.22384</v>
      </c>
    </row>
    <row r="67" spans="1:22" ht="18" customHeight="1">
      <c r="A67" s="3" t="s">
        <v>212</v>
      </c>
      <c r="B67" s="4">
        <v>0.00300065</v>
      </c>
      <c r="C67" s="4">
        <v>0.4948045176599631</v>
      </c>
      <c r="D67" s="4">
        <v>-0.3948789961127328</v>
      </c>
      <c r="E67" s="4">
        <v>0.09957222753359729</v>
      </c>
      <c r="F67" s="4">
        <v>0.1002200070677586</v>
      </c>
      <c r="G67" s="4">
        <v>0.6003200102803761</v>
      </c>
      <c r="H67" s="15"/>
      <c r="I67" s="6">
        <v>199.9600067138672</v>
      </c>
      <c r="J67" s="7">
        <v>526.2106</v>
      </c>
      <c r="K67" s="7">
        <v>70.55951</v>
      </c>
      <c r="L67" s="4">
        <v>-0.05319222397772594</v>
      </c>
      <c r="M67" s="4">
        <v>0.18020001</v>
      </c>
      <c r="N67" s="4">
        <v>0.1719</v>
      </c>
      <c r="O67" s="3" t="s">
        <v>212</v>
      </c>
      <c r="P67" s="5">
        <v>121</v>
      </c>
      <c r="Q67" s="5">
        <v>219.87047</v>
      </c>
      <c r="R67" s="5">
        <v>220</v>
      </c>
      <c r="S67" s="5">
        <v>320</v>
      </c>
      <c r="T67" s="7">
        <v>0.31</v>
      </c>
      <c r="U67" s="7">
        <v>2.41941</v>
      </c>
      <c r="V67" s="7">
        <v>2.83541</v>
      </c>
    </row>
    <row r="68" spans="1:22" ht="18" customHeight="1">
      <c r="A68" s="3" t="s">
        <v>268</v>
      </c>
      <c r="B68" s="4">
        <v>0.00289199</v>
      </c>
      <c r="C68" s="4">
        <v>0.3820784768045953</v>
      </c>
      <c r="D68" s="4">
        <v>-0.2578849756721635</v>
      </c>
      <c r="E68" s="4">
        <v>0.09476684703005067</v>
      </c>
      <c r="F68" s="4">
        <v>0.1286332661652514</v>
      </c>
      <c r="G68" s="4">
        <v>0.3141620222472106</v>
      </c>
      <c r="H68" s="15"/>
      <c r="I68" s="6">
        <v>64.68000030517578</v>
      </c>
      <c r="J68" s="7">
        <v>20.667732</v>
      </c>
      <c r="K68" s="7">
        <v>23.206676</v>
      </c>
      <c r="L68" s="4">
        <v>0.1191897971660367</v>
      </c>
      <c r="M68" s="4">
        <v>-0.1161</v>
      </c>
      <c r="N68" s="4">
        <v>0.21290001</v>
      </c>
      <c r="O68" s="3" t="s">
        <v>268</v>
      </c>
      <c r="P68" s="5">
        <v>48</v>
      </c>
      <c r="Q68" s="5">
        <v>70.80952000000001</v>
      </c>
      <c r="R68" s="5">
        <v>73</v>
      </c>
      <c r="S68" s="5">
        <v>85</v>
      </c>
      <c r="T68" s="7">
        <v>2.6</v>
      </c>
      <c r="U68" s="7">
        <v>2.29827</v>
      </c>
      <c r="V68" s="7">
        <v>2.78756</v>
      </c>
    </row>
    <row r="69" spans="1:22" ht="18" customHeight="1">
      <c r="A69" s="3" t="s">
        <v>269</v>
      </c>
      <c r="B69" s="4">
        <v>0.00274351</v>
      </c>
      <c r="C69" s="4">
        <v>0.01257945294765972</v>
      </c>
      <c r="D69" s="4">
        <v>-0.03257298507666839</v>
      </c>
      <c r="E69" s="4">
        <v>0.1318687500888753</v>
      </c>
      <c r="F69" s="4">
        <v>0.1094346501414354</v>
      </c>
      <c r="G69" s="4">
        <v>0.3313215801697225</v>
      </c>
      <c r="H69" s="15"/>
      <c r="I69" s="6">
        <v>112.6699981689453</v>
      </c>
      <c r="J69" s="7">
        <v>23.972342</v>
      </c>
      <c r="K69" s="7">
        <v>16.636814</v>
      </c>
      <c r="L69" s="4">
        <v>0.08660560975985554</v>
      </c>
      <c r="M69" s="4">
        <v>0.1333</v>
      </c>
      <c r="N69" s="4">
        <v>0.1928</v>
      </c>
      <c r="O69" s="3" t="s">
        <v>269</v>
      </c>
      <c r="P69" s="5">
        <v>109</v>
      </c>
      <c r="Q69" s="5">
        <v>127.52765</v>
      </c>
      <c r="R69" s="5">
        <v>125</v>
      </c>
      <c r="S69" s="5">
        <v>150</v>
      </c>
      <c r="T69" s="7">
        <v>4.51</v>
      </c>
      <c r="U69" s="7">
        <v>5.66698</v>
      </c>
      <c r="V69" s="7">
        <v>6.71507</v>
      </c>
    </row>
    <row r="70" spans="1:22" ht="18" customHeight="1">
      <c r="A70" s="3" t="s">
        <v>270</v>
      </c>
      <c r="B70" s="4">
        <v>0.00273513</v>
      </c>
      <c r="C70" s="4">
        <v>0.04071129064397927</v>
      </c>
      <c r="D70" s="4">
        <v>-0.2053458726753978</v>
      </c>
      <c r="E70" s="4">
        <v>0.1232516277558828</v>
      </c>
      <c r="F70" s="4">
        <v>0.1341881635451141</v>
      </c>
      <c r="G70" s="4">
        <v>0.3075672458704819</v>
      </c>
      <c r="H70" s="15"/>
      <c r="I70" s="6">
        <v>138.4250030517578</v>
      </c>
      <c r="J70" s="7">
        <v>34.179012</v>
      </c>
      <c r="K70" s="7">
        <v>23.20002</v>
      </c>
      <c r="L70" s="4">
        <v>0.03224829351189262</v>
      </c>
      <c r="M70" s="4">
        <v>0.2399</v>
      </c>
      <c r="N70" s="4">
        <v>0.2017</v>
      </c>
      <c r="O70" s="3" t="s">
        <v>270</v>
      </c>
      <c r="P70" s="5">
        <v>110</v>
      </c>
      <c r="Q70" s="5">
        <v>155.48611</v>
      </c>
      <c r="R70" s="5">
        <v>157</v>
      </c>
      <c r="S70" s="5">
        <v>181</v>
      </c>
      <c r="T70" s="7">
        <v>4.03</v>
      </c>
      <c r="U70" s="7">
        <v>5.01705</v>
      </c>
      <c r="V70" s="7">
        <v>5.97946</v>
      </c>
    </row>
    <row r="71" spans="1:22" ht="18" customHeight="1">
      <c r="A71" s="3" t="s">
        <v>271</v>
      </c>
      <c r="B71" s="4">
        <v>0.00268918</v>
      </c>
      <c r="C71" s="4">
        <v>0.2467867317278529</v>
      </c>
      <c r="D71" s="4">
        <v>0.08193621718167066</v>
      </c>
      <c r="E71" s="4">
        <v>0.9415067788408975</v>
      </c>
      <c r="F71" s="4">
        <v>0.7734567710878801</v>
      </c>
      <c r="G71" s="4">
        <v>2.291739906048007</v>
      </c>
      <c r="H71" s="15"/>
      <c r="I71" s="6">
        <v>195.9450073242188</v>
      </c>
      <c r="J71" s="9" t="s">
        <v>79</v>
      </c>
      <c r="K71" s="7">
        <v>50.38429</v>
      </c>
      <c r="L71" s="4">
        <v>-0.4935169094292915</v>
      </c>
      <c r="M71" s="4">
        <v>0.2188</v>
      </c>
      <c r="N71" s="4">
        <v>-0.2628</v>
      </c>
      <c r="O71" s="3" t="s">
        <v>271</v>
      </c>
      <c r="P71" s="5">
        <v>212</v>
      </c>
      <c r="Q71" s="5">
        <v>380.42856</v>
      </c>
      <c r="R71" s="5">
        <v>347.5</v>
      </c>
      <c r="S71" s="5">
        <v>645</v>
      </c>
      <c r="T71" s="7">
        <v>-15.23</v>
      </c>
      <c r="U71" s="7">
        <v>53.22833</v>
      </c>
      <c r="V71" s="7">
        <v>23.80333</v>
      </c>
    </row>
    <row r="72" spans="1:22" ht="18" customHeight="1">
      <c r="A72" s="3" t="s">
        <v>185</v>
      </c>
      <c r="B72" s="4">
        <v>0.00244715</v>
      </c>
      <c r="C72" s="4">
        <v>0.500479364548124</v>
      </c>
      <c r="D72" s="4">
        <v>-0.2268439552235813</v>
      </c>
      <c r="E72" s="4">
        <v>0.1591155423288069</v>
      </c>
      <c r="F72" s="4">
        <v>0.2370496716422701</v>
      </c>
      <c r="G72" s="4">
        <v>0.3916808805975538</v>
      </c>
      <c r="H72" s="15"/>
      <c r="I72" s="6">
        <v>97.00499725341797</v>
      </c>
      <c r="J72" s="7">
        <v>440.9318</v>
      </c>
      <c r="K72" s="7">
        <v>23.74152</v>
      </c>
      <c r="L72" s="4">
        <v>0.1556103721876427</v>
      </c>
      <c r="M72" s="4">
        <v>0.92660004</v>
      </c>
      <c r="N72" s="4">
        <v>0.2932</v>
      </c>
      <c r="O72" s="3" t="s">
        <v>185</v>
      </c>
      <c r="P72" s="5">
        <v>75</v>
      </c>
      <c r="Q72" s="5">
        <v>112.44</v>
      </c>
      <c r="R72" s="5">
        <v>120</v>
      </c>
      <c r="S72" s="5">
        <v>135</v>
      </c>
      <c r="T72" s="7">
        <v>-0.01</v>
      </c>
      <c r="U72" s="7">
        <v>3.15956</v>
      </c>
      <c r="V72" s="7">
        <v>4.08588</v>
      </c>
    </row>
    <row r="73" spans="1:22" ht="18" customHeight="1">
      <c r="A73" s="3" t="s">
        <v>272</v>
      </c>
      <c r="B73" s="4">
        <v>0.00242922</v>
      </c>
      <c r="C73" s="4">
        <v>0.2994932404688995</v>
      </c>
      <c r="D73" s="4">
        <v>-0.008718177921447468</v>
      </c>
      <c r="E73" s="4">
        <v>0.158189940987816</v>
      </c>
      <c r="F73" s="4">
        <v>0.1437867177829453</v>
      </c>
      <c r="G73" s="4">
        <v>0.3522100752456152</v>
      </c>
      <c r="H73" s="15"/>
      <c r="I73" s="6">
        <v>196.7149963378906</v>
      </c>
      <c r="J73" s="7">
        <v>200.80458</v>
      </c>
      <c r="K73" s="7">
        <v>11.4989395</v>
      </c>
      <c r="L73" s="4">
        <v>-0.07304186163085791</v>
      </c>
      <c r="M73" s="4">
        <v>0.4159</v>
      </c>
      <c r="N73" s="4">
        <v>-0.096</v>
      </c>
      <c r="O73" s="3" t="s">
        <v>272</v>
      </c>
      <c r="P73" s="5">
        <v>195</v>
      </c>
      <c r="Q73" s="5">
        <v>227.83333</v>
      </c>
      <c r="R73" s="5">
        <v>225</v>
      </c>
      <c r="S73" s="5">
        <v>266</v>
      </c>
      <c r="T73" s="7">
        <v>5.73</v>
      </c>
      <c r="U73" s="7">
        <v>18.93051</v>
      </c>
      <c r="V73" s="7">
        <v>17.11362</v>
      </c>
    </row>
    <row r="74" spans="1:22" ht="18" customHeight="1">
      <c r="A74" s="3" t="s">
        <v>217</v>
      </c>
      <c r="B74" s="4">
        <v>0.0023656</v>
      </c>
      <c r="C74" s="4">
        <v>-0.1779025836540608</v>
      </c>
      <c r="D74" s="4">
        <v>0.0436110585697469</v>
      </c>
      <c r="E74" s="4">
        <v>0.3810810636098338</v>
      </c>
      <c r="F74" s="4">
        <v>0.3808756079855797</v>
      </c>
      <c r="G74" s="4">
        <v>0.9344985475927015</v>
      </c>
      <c r="H74" s="15"/>
      <c r="I74" s="6">
        <v>235.7200012207031</v>
      </c>
      <c r="J74" s="7">
        <v>45.070747</v>
      </c>
      <c r="K74" s="7">
        <v>16.713226</v>
      </c>
      <c r="L74" s="4">
        <v>0.009170879497602424</v>
      </c>
      <c r="M74" s="4">
        <v>0.191</v>
      </c>
      <c r="N74" s="4">
        <v>0.1354</v>
      </c>
      <c r="O74" s="3" t="s">
        <v>217</v>
      </c>
      <c r="P74" s="5">
        <v>246</v>
      </c>
      <c r="Q74" s="5">
        <v>325.54843</v>
      </c>
      <c r="R74" s="5">
        <v>325.5</v>
      </c>
      <c r="S74" s="5">
        <v>456</v>
      </c>
      <c r="T74" s="7">
        <v>5.23</v>
      </c>
      <c r="U74" s="7">
        <v>12.42241</v>
      </c>
      <c r="V74" s="7">
        <v>14.1038</v>
      </c>
    </row>
    <row r="75" spans="1:22" ht="18" customHeight="1">
      <c r="A75" s="3" t="s">
        <v>273</v>
      </c>
      <c r="B75" s="4">
        <v>0.0023274</v>
      </c>
      <c r="C75" s="4">
        <v>0.0773833436875262</v>
      </c>
      <c r="D75" s="4">
        <v>-0.0742459069004956</v>
      </c>
      <c r="E75" s="4">
        <v>0.08062648837366981</v>
      </c>
      <c r="F75" s="4">
        <v>0.0440835636460577</v>
      </c>
      <c r="G75" s="4">
        <v>0.2761021333451816</v>
      </c>
      <c r="H75" s="15"/>
      <c r="I75" s="6">
        <v>43.09999847412109</v>
      </c>
      <c r="J75" s="7">
        <v>38.14159</v>
      </c>
      <c r="K75" s="7">
        <v>31.520824</v>
      </c>
      <c r="L75" s="4">
        <v>0.1526520729504897</v>
      </c>
      <c r="M75" s="4">
        <v>0.1346</v>
      </c>
      <c r="N75" s="4">
        <v>0.10560001</v>
      </c>
      <c r="O75" s="3" t="s">
        <v>273</v>
      </c>
      <c r="P75" s="5">
        <v>39.9</v>
      </c>
      <c r="Q75" s="5">
        <v>46.575</v>
      </c>
      <c r="R75" s="5">
        <v>45</v>
      </c>
      <c r="S75" s="5">
        <v>55</v>
      </c>
      <c r="T75" s="7">
        <v>1.09</v>
      </c>
      <c r="U75" s="7">
        <v>1.23485</v>
      </c>
      <c r="V75" s="7">
        <v>1.36478</v>
      </c>
    </row>
    <row r="76" spans="1:22" ht="18" customHeight="1">
      <c r="A76" s="3" t="s">
        <v>274</v>
      </c>
      <c r="B76" s="4">
        <v>0.0023122</v>
      </c>
      <c r="C76" s="4">
        <v>0.08350114848680334</v>
      </c>
      <c r="D76" s="4">
        <v>-0.01105022039502668</v>
      </c>
      <c r="E76" s="4">
        <v>0.05434540214347372</v>
      </c>
      <c r="F76" s="4">
        <v>0.07323193279675211</v>
      </c>
      <c r="G76" s="4">
        <v>0.1008542652611886</v>
      </c>
      <c r="H76" s="15"/>
      <c r="I76" s="6">
        <v>69.94000244140625</v>
      </c>
      <c r="J76" s="7">
        <v>49.253525</v>
      </c>
      <c r="K76" s="7">
        <v>46.015167</v>
      </c>
      <c r="L76" s="4">
        <v>0.5744470883864716</v>
      </c>
      <c r="M76" s="4">
        <v>0.3202</v>
      </c>
      <c r="N76" s="4">
        <v>0.031600002</v>
      </c>
      <c r="O76" s="3" t="s">
        <v>274</v>
      </c>
      <c r="P76" s="5">
        <v>69.16715000000001</v>
      </c>
      <c r="Q76" s="5">
        <v>73.74092</v>
      </c>
      <c r="R76" s="5">
        <v>75.06184399999999</v>
      </c>
      <c r="S76" s="5">
        <v>76.99375000000001</v>
      </c>
      <c r="T76" s="7">
        <v>4.47</v>
      </c>
      <c r="U76" s="7">
        <v>1.25</v>
      </c>
      <c r="V76" s="7">
        <v>1.2895</v>
      </c>
    </row>
    <row r="77" spans="1:22" ht="18" customHeight="1">
      <c r="A77" s="3" t="s">
        <v>275</v>
      </c>
      <c r="B77" s="4">
        <v>0.00228923</v>
      </c>
      <c r="C77" s="4">
        <v>-0.01932641045713501</v>
      </c>
      <c r="D77" s="4">
        <v>-0.2010785610094404</v>
      </c>
      <c r="E77" s="4">
        <v>0.01263292392053428</v>
      </c>
      <c r="F77" s="4">
        <v>0.04858438867510939</v>
      </c>
      <c r="G77" s="4">
        <v>0.04858438867510939</v>
      </c>
      <c r="H77" s="15"/>
      <c r="I77" s="6">
        <v>200.2700042724609</v>
      </c>
      <c r="J77" s="7">
        <v>57.05698</v>
      </c>
      <c r="K77" s="7">
        <v>20.526766</v>
      </c>
      <c r="L77" s="4">
        <v>0.4071854183743739</v>
      </c>
      <c r="M77" s="4">
        <v>0.1177</v>
      </c>
      <c r="N77" s="4">
        <v>0.1078</v>
      </c>
      <c r="O77" s="3" t="s">
        <v>275</v>
      </c>
      <c r="P77" s="5">
        <v>160</v>
      </c>
      <c r="Q77" s="5">
        <v>202.8</v>
      </c>
      <c r="R77" s="5">
        <v>210</v>
      </c>
      <c r="S77" s="5">
        <v>210</v>
      </c>
      <c r="T77" s="7">
        <v>3.51</v>
      </c>
      <c r="U77" s="7">
        <v>5.70735</v>
      </c>
      <c r="V77" s="7">
        <v>5.94442</v>
      </c>
    </row>
    <row r="78" spans="1:22" ht="18" customHeight="1">
      <c r="A78" s="3" t="s">
        <v>276</v>
      </c>
      <c r="B78" s="4">
        <v>0.00226042</v>
      </c>
      <c r="C78" s="4">
        <v>0.08401158590277547</v>
      </c>
      <c r="D78" s="4">
        <v>-0.07914385965711779</v>
      </c>
      <c r="E78" s="4">
        <v>0.1476134805817859</v>
      </c>
      <c r="F78" s="4">
        <v>0.1635141773251283</v>
      </c>
      <c r="G78" s="4">
        <v>0.2319561877560181</v>
      </c>
      <c r="H78" s="15"/>
      <c r="I78" s="6">
        <v>80.36000061035156</v>
      </c>
      <c r="J78" s="7">
        <v>23.1585</v>
      </c>
      <c r="K78" s="7">
        <v>17.739397</v>
      </c>
      <c r="L78" s="4">
        <v>0.1501974167569864</v>
      </c>
      <c r="M78" s="4">
        <v>0.082399994</v>
      </c>
      <c r="N78" s="4">
        <v>0.1014</v>
      </c>
      <c r="O78" s="3" t="s">
        <v>276</v>
      </c>
      <c r="P78" s="5">
        <v>74</v>
      </c>
      <c r="Q78" s="5">
        <v>92.22221999999999</v>
      </c>
      <c r="R78" s="5">
        <v>93.5</v>
      </c>
      <c r="S78" s="5">
        <v>99</v>
      </c>
      <c r="T78" s="7">
        <v>3.42</v>
      </c>
      <c r="U78" s="7">
        <v>4.113</v>
      </c>
      <c r="V78" s="7">
        <v>4.53003</v>
      </c>
    </row>
    <row r="79" spans="1:22" ht="18" customHeight="1">
      <c r="A79" s="3" t="s">
        <v>277</v>
      </c>
      <c r="B79" s="4">
        <v>0.00204983</v>
      </c>
      <c r="C79" s="4">
        <v>0.01430356452074077</v>
      </c>
      <c r="D79" s="4">
        <v>-0.02648852654397227</v>
      </c>
      <c r="E79" s="4">
        <v>0.1332479527968977</v>
      </c>
      <c r="F79" s="4">
        <v>0.1319900854139857</v>
      </c>
      <c r="G79" s="4">
        <v>0.3131084990802235</v>
      </c>
      <c r="H79" s="15"/>
      <c r="I79" s="6">
        <v>44.16999816894531</v>
      </c>
      <c r="J79" s="7">
        <v>16.179487</v>
      </c>
      <c r="K79" s="7">
        <v>14.5335245</v>
      </c>
      <c r="L79" s="4">
        <v>0.1995382825295893</v>
      </c>
      <c r="M79" s="4">
        <v>0.030199999</v>
      </c>
      <c r="N79" s="4">
        <v>0.06510000000000001</v>
      </c>
      <c r="O79" s="3" t="s">
        <v>277</v>
      </c>
      <c r="P79" s="5">
        <v>43</v>
      </c>
      <c r="Q79" s="5">
        <v>50.05556</v>
      </c>
      <c r="R79" s="5">
        <v>50</v>
      </c>
      <c r="S79" s="5">
        <v>58</v>
      </c>
      <c r="T79" s="7">
        <v>2.707353</v>
      </c>
      <c r="U79" s="7">
        <v>2.85353</v>
      </c>
      <c r="V79" s="7">
        <v>3.03918</v>
      </c>
    </row>
    <row r="80" spans="1:22" ht="18" customHeight="1">
      <c r="A80" s="3" t="s">
        <v>134</v>
      </c>
      <c r="B80" s="4">
        <v>0.00203539</v>
      </c>
      <c r="C80" s="4">
        <v>-0.2126449242223549</v>
      </c>
      <c r="D80" s="4">
        <v>-0.1090385528540923</v>
      </c>
      <c r="E80" s="4">
        <v>0.3442957115260548</v>
      </c>
      <c r="F80" s="4">
        <v>0.3506596406201261</v>
      </c>
      <c r="G80" s="4">
        <v>0.5260084360690547</v>
      </c>
      <c r="H80" s="15"/>
      <c r="I80" s="6">
        <v>527.52001953125</v>
      </c>
      <c r="J80" s="7">
        <v>38.75974</v>
      </c>
      <c r="K80" s="7">
        <v>31.96634</v>
      </c>
      <c r="L80" s="4">
        <v>0.6547144899041195</v>
      </c>
      <c r="M80" s="4">
        <v>0.1171</v>
      </c>
      <c r="N80" s="4">
        <v>0.1293</v>
      </c>
      <c r="O80" s="3" t="s">
        <v>134</v>
      </c>
      <c r="P80" s="5">
        <v>470</v>
      </c>
      <c r="Q80" s="5">
        <v>709.1429000000001</v>
      </c>
      <c r="R80" s="5">
        <v>712.5</v>
      </c>
      <c r="S80" s="5">
        <v>805</v>
      </c>
      <c r="T80" s="7">
        <v>13.08</v>
      </c>
      <c r="U80" s="7">
        <v>14.61227</v>
      </c>
      <c r="V80" s="7">
        <v>16.50236</v>
      </c>
    </row>
    <row r="81" spans="1:22" ht="18" customHeight="1">
      <c r="A81" s="3" t="s">
        <v>278</v>
      </c>
      <c r="B81" s="4">
        <v>0.00197757</v>
      </c>
      <c r="C81" s="4">
        <v>0.05367872870985035</v>
      </c>
      <c r="D81" s="4">
        <v>-0.07998654816541151</v>
      </c>
      <c r="E81" s="4">
        <v>0.1419396454730466</v>
      </c>
      <c r="F81" s="4">
        <v>0.1750608893280985</v>
      </c>
      <c r="G81" s="4">
        <v>0.2339004828291629</v>
      </c>
      <c r="H81" s="15"/>
      <c r="I81" s="6">
        <v>92.94499969482422</v>
      </c>
      <c r="J81" s="7">
        <v>18.589</v>
      </c>
      <c r="K81" s="7">
        <v>16.223686</v>
      </c>
      <c r="L81" s="4">
        <v>0.2160905470736494</v>
      </c>
      <c r="M81" s="4">
        <v>0.0418</v>
      </c>
      <c r="N81" s="4">
        <v>0.094</v>
      </c>
      <c r="O81" s="3" t="s">
        <v>278</v>
      </c>
      <c r="P81" s="5">
        <v>85.51065</v>
      </c>
      <c r="Q81" s="5">
        <v>106.13758</v>
      </c>
      <c r="R81" s="5">
        <v>109.216034</v>
      </c>
      <c r="S81" s="5">
        <v>114.68488</v>
      </c>
      <c r="T81" s="7">
        <v>4.26</v>
      </c>
      <c r="U81" s="7">
        <v>4.46453</v>
      </c>
      <c r="V81" s="7">
        <v>4.88399</v>
      </c>
    </row>
    <row r="82" spans="1:22" ht="18" customHeight="1">
      <c r="A82" s="3" t="s">
        <v>279</v>
      </c>
      <c r="B82" s="4">
        <v>0.00190632</v>
      </c>
      <c r="C82" s="4">
        <v>-0.2215925506247234</v>
      </c>
      <c r="D82" s="4">
        <v>-0.290780125054775</v>
      </c>
      <c r="E82" s="4">
        <v>0.1680552138213114</v>
      </c>
      <c r="F82" s="4">
        <v>0.06382981241783758</v>
      </c>
      <c r="G82" s="4">
        <v>2.266622417755522</v>
      </c>
      <c r="H82" s="15"/>
      <c r="I82" s="6">
        <v>45.11999893188477</v>
      </c>
      <c r="J82" s="7">
        <v>8.465291000000001</v>
      </c>
      <c r="K82" s="7">
        <v>7.7742167</v>
      </c>
      <c r="L82" s="4">
        <v>-0.3210146235477336</v>
      </c>
      <c r="M82" s="4">
        <v>-0.0007</v>
      </c>
      <c r="N82" s="4">
        <v>0.09130000000000001</v>
      </c>
      <c r="O82" s="3" t="s">
        <v>279</v>
      </c>
      <c r="P82" s="5">
        <v>32</v>
      </c>
      <c r="Q82" s="5">
        <v>52.70265</v>
      </c>
      <c r="R82" s="5">
        <v>48</v>
      </c>
      <c r="S82" s="5">
        <v>147.39</v>
      </c>
      <c r="T82" s="7">
        <v>5.41</v>
      </c>
      <c r="U82" s="7">
        <v>5.30636</v>
      </c>
      <c r="V82" s="7">
        <v>5.79097</v>
      </c>
    </row>
    <row r="83" spans="1:22" ht="18" customHeight="1">
      <c r="A83" s="3" t="s">
        <v>280</v>
      </c>
      <c r="B83" s="4">
        <v>0.00188654</v>
      </c>
      <c r="C83" s="4">
        <v>0.2293669706048862</v>
      </c>
      <c r="D83" s="4">
        <v>-0.206877112986719</v>
      </c>
      <c r="E83" s="4">
        <v>0.08286858686571352</v>
      </c>
      <c r="F83" s="4">
        <v>0.1129305027444427</v>
      </c>
      <c r="G83" s="4">
        <v>0.2280612444076611</v>
      </c>
      <c r="H83" s="15"/>
      <c r="I83" s="6">
        <v>195.4299926757812</v>
      </c>
      <c r="J83" s="7">
        <v>40.71458</v>
      </c>
      <c r="K83" s="7">
        <v>31.527832</v>
      </c>
      <c r="L83" s="4">
        <v>-0.101300339574662</v>
      </c>
      <c r="M83" s="4">
        <v>0.1104</v>
      </c>
      <c r="N83" s="4">
        <v>0.1533</v>
      </c>
      <c r="O83" s="3" t="s">
        <v>280</v>
      </c>
      <c r="P83" s="5">
        <v>155</v>
      </c>
      <c r="Q83" s="5">
        <v>211.625</v>
      </c>
      <c r="R83" s="5">
        <v>217.5</v>
      </c>
      <c r="S83" s="5">
        <v>240</v>
      </c>
      <c r="T83" s="7">
        <v>4.84</v>
      </c>
      <c r="U83" s="7">
        <v>5.35716</v>
      </c>
      <c r="V83" s="7">
        <v>6.20513</v>
      </c>
    </row>
    <row r="84" spans="1:22" ht="18" customHeight="1">
      <c r="A84" s="3" t="s">
        <v>281</v>
      </c>
      <c r="B84" s="4">
        <v>0.00186301</v>
      </c>
      <c r="C84" s="4">
        <v>-0.1256359294257977</v>
      </c>
      <c r="D84" s="4">
        <v>-0.2499659262696496</v>
      </c>
      <c r="E84" s="4">
        <v>0.2594343064762976</v>
      </c>
      <c r="F84" s="4">
        <v>0.27278509481514</v>
      </c>
      <c r="G84" s="4">
        <v>0.4546115369315886</v>
      </c>
      <c r="H84" s="15"/>
      <c r="I84" s="6">
        <v>219.9900054931641</v>
      </c>
      <c r="J84" s="9" t="s">
        <v>79</v>
      </c>
      <c r="K84" s="7">
        <v>27.683504</v>
      </c>
      <c r="L84" s="4">
        <v>0.3985360164751908</v>
      </c>
      <c r="M84" s="4">
        <v>0.24110001</v>
      </c>
      <c r="N84" s="4">
        <v>1.0662999</v>
      </c>
      <c r="O84" s="3" t="s">
        <v>281</v>
      </c>
      <c r="P84" s="5">
        <v>165</v>
      </c>
      <c r="Q84" s="5">
        <v>277.06296</v>
      </c>
      <c r="R84" s="5">
        <v>280</v>
      </c>
      <c r="S84" s="5">
        <v>320</v>
      </c>
      <c r="T84" s="7">
        <v>-25.58</v>
      </c>
      <c r="U84" s="7">
        <v>-1.82178</v>
      </c>
      <c r="V84" s="7">
        <v>3.69116</v>
      </c>
    </row>
    <row r="85" spans="1:22" ht="18" customHeight="1">
      <c r="A85" s="3" t="s">
        <v>282</v>
      </c>
      <c r="B85" s="4">
        <v>0.0018577</v>
      </c>
      <c r="C85" s="4">
        <v>-0.2911905144162945</v>
      </c>
      <c r="D85" s="4">
        <v>0.0912363670383376</v>
      </c>
      <c r="E85" s="4">
        <v>0.4430909087725594</v>
      </c>
      <c r="F85" s="4">
        <v>0.3499831344804176</v>
      </c>
      <c r="G85" s="4">
        <v>1.09100946423952</v>
      </c>
      <c r="H85" s="15"/>
      <c r="I85" s="6">
        <v>88.88999938964844</v>
      </c>
      <c r="J85" s="7">
        <v>25.543102</v>
      </c>
      <c r="K85" s="7">
        <v>17.611814</v>
      </c>
      <c r="L85" s="4">
        <v>-0.1704668945314199</v>
      </c>
      <c r="M85" s="4">
        <v>0.1122</v>
      </c>
      <c r="N85" s="4">
        <v>0.1398</v>
      </c>
      <c r="O85" s="3" t="s">
        <v>282</v>
      </c>
      <c r="P85" s="5">
        <v>97</v>
      </c>
      <c r="Q85" s="5">
        <v>128.27635</v>
      </c>
      <c r="R85" s="5">
        <v>120</v>
      </c>
      <c r="S85" s="5">
        <v>185.86983</v>
      </c>
      <c r="T85" s="7">
        <v>3.382221</v>
      </c>
      <c r="U85" s="7">
        <v>4.42808</v>
      </c>
      <c r="V85" s="7">
        <v>5.04703</v>
      </c>
    </row>
    <row r="86" spans="1:22" ht="18" customHeight="1">
      <c r="A86" s="3" t="s">
        <v>283</v>
      </c>
      <c r="B86" s="4">
        <v>0.00178765</v>
      </c>
      <c r="C86" s="4">
        <v>0.04666836626855542</v>
      </c>
      <c r="D86" s="4">
        <v>-0.02676400575293991</v>
      </c>
      <c r="E86" s="4">
        <v>0.1557177431683838</v>
      </c>
      <c r="F86" s="4">
        <v>0.1470281360768921</v>
      </c>
      <c r="G86" s="4">
        <v>0.4598539913705901</v>
      </c>
      <c r="H86" s="15"/>
      <c r="I86" s="6">
        <v>28.77000045776367</v>
      </c>
      <c r="J86" s="7">
        <v>21.311111</v>
      </c>
      <c r="K86" s="7">
        <v>11.393654</v>
      </c>
      <c r="L86" s="4">
        <v>-0.09124897722099068</v>
      </c>
      <c r="M86" s="4">
        <v>0.1148</v>
      </c>
      <c r="N86" s="4">
        <v>0.104899995</v>
      </c>
      <c r="O86" s="3" t="s">
        <v>283</v>
      </c>
      <c r="P86" s="5">
        <v>28</v>
      </c>
      <c r="Q86" s="5">
        <v>33.25</v>
      </c>
      <c r="R86" s="5">
        <v>33</v>
      </c>
      <c r="S86" s="5">
        <v>42</v>
      </c>
      <c r="T86" s="7">
        <v>1.53</v>
      </c>
      <c r="U86" s="7">
        <v>2.28539</v>
      </c>
      <c r="V86" s="7">
        <v>2.52509</v>
      </c>
    </row>
    <row r="87" spans="1:22" ht="18" customHeight="1">
      <c r="A87" s="3" t="s">
        <v>284</v>
      </c>
      <c r="B87" s="4">
        <v>0.00178584</v>
      </c>
      <c r="C87" s="4">
        <v>-0.2844666470572849</v>
      </c>
      <c r="D87" s="4">
        <v>0.08264797964322357</v>
      </c>
      <c r="E87" s="4">
        <v>0.569769722225923</v>
      </c>
      <c r="F87" s="4">
        <v>0.5541237127136596</v>
      </c>
      <c r="G87" s="4">
        <v>0.9767056660582727</v>
      </c>
      <c r="H87" s="15"/>
      <c r="I87" s="6">
        <v>286.3349914550781</v>
      </c>
      <c r="J87" s="7">
        <v>71.94347</v>
      </c>
      <c r="K87" s="7">
        <v>20.638006</v>
      </c>
      <c r="L87" s="4">
        <v>0.7021231153481398</v>
      </c>
      <c r="M87" s="4">
        <v>0.8373999600000001</v>
      </c>
      <c r="N87" s="4">
        <v>0.4864</v>
      </c>
      <c r="O87" s="3" t="s">
        <v>284</v>
      </c>
      <c r="P87" s="5">
        <v>310</v>
      </c>
      <c r="Q87" s="5">
        <v>449.48</v>
      </c>
      <c r="R87" s="5">
        <v>445</v>
      </c>
      <c r="S87" s="5">
        <v>566</v>
      </c>
      <c r="T87" s="7">
        <v>2.33</v>
      </c>
      <c r="U87" s="7">
        <v>9.33418</v>
      </c>
      <c r="V87" s="7">
        <v>13.87416</v>
      </c>
    </row>
    <row r="88" spans="1:22" ht="18" customHeight="1">
      <c r="A88" s="3" t="s">
        <v>219</v>
      </c>
      <c r="B88" s="4">
        <v>0.00161271</v>
      </c>
      <c r="C88" s="4">
        <v>-0.2421836368755712</v>
      </c>
      <c r="D88" s="4">
        <v>0.1112322036882445</v>
      </c>
      <c r="E88" s="4">
        <v>0.3814424708088688</v>
      </c>
      <c r="F88" s="4">
        <v>0.3883856931752565</v>
      </c>
      <c r="G88" s="4">
        <v>0.6744594850096834</v>
      </c>
      <c r="H88" s="15"/>
      <c r="I88" s="6">
        <v>328.4642028808594</v>
      </c>
      <c r="J88" s="7">
        <v>20.529013</v>
      </c>
      <c r="K88" s="7">
        <v>13.747545</v>
      </c>
      <c r="L88" s="4">
        <v>-0.1282905044099737</v>
      </c>
      <c r="M88" s="4">
        <v>0.097600006</v>
      </c>
      <c r="N88" s="4">
        <v>0.08840000000000001</v>
      </c>
      <c r="O88" s="3" t="s">
        <v>219</v>
      </c>
      <c r="P88" s="5">
        <v>365</v>
      </c>
      <c r="Q88" s="5">
        <v>453.7544</v>
      </c>
      <c r="R88" s="5">
        <v>456.035</v>
      </c>
      <c r="S88" s="5">
        <v>550</v>
      </c>
      <c r="T88" s="7">
        <v>14.2</v>
      </c>
      <c r="U88" s="7">
        <v>21.95284</v>
      </c>
      <c r="V88" s="7">
        <v>23.89257</v>
      </c>
    </row>
    <row r="89" spans="1:22" ht="18" customHeight="1">
      <c r="A89" s="3" t="s">
        <v>285</v>
      </c>
      <c r="B89" s="4">
        <v>0.0015388</v>
      </c>
      <c r="C89" s="4">
        <v>-0.1274845037494524</v>
      </c>
      <c r="D89" s="4">
        <v>-0.04040943467887192</v>
      </c>
      <c r="E89" s="4">
        <v>0.07616301327159958</v>
      </c>
      <c r="F89" s="4">
        <v>0.06621173924569779</v>
      </c>
      <c r="G89" s="4">
        <v>0.3327646740571222</v>
      </c>
      <c r="H89" s="15"/>
      <c r="I89" s="6">
        <v>93.79000091552734</v>
      </c>
      <c r="J89" s="7">
        <v>20.701986</v>
      </c>
      <c r="K89" s="7">
        <v>15.89435</v>
      </c>
      <c r="L89" s="4">
        <v>-0.1646366861220581</v>
      </c>
      <c r="M89" s="4">
        <v>0.1035</v>
      </c>
      <c r="N89" s="4">
        <v>0.073699996</v>
      </c>
      <c r="O89" s="3" t="s">
        <v>285</v>
      </c>
      <c r="P89" s="5">
        <v>90</v>
      </c>
      <c r="Q89" s="5">
        <v>100.93333</v>
      </c>
      <c r="R89" s="5">
        <v>100</v>
      </c>
      <c r="S89" s="5">
        <v>125</v>
      </c>
      <c r="T89" s="7">
        <v>4.58</v>
      </c>
      <c r="U89" s="7">
        <v>5.49533</v>
      </c>
      <c r="V89" s="7">
        <v>5.90021</v>
      </c>
    </row>
    <row r="90" spans="1:22" ht="18" customHeight="1">
      <c r="A90" s="3" t="s">
        <v>286</v>
      </c>
      <c r="B90" s="4">
        <v>0.00149941</v>
      </c>
      <c r="C90" s="4">
        <v>-0.1212603064746127</v>
      </c>
      <c r="D90" s="4">
        <v>-0.03585413305053153</v>
      </c>
      <c r="E90" s="4">
        <v>0.2855279230311525</v>
      </c>
      <c r="F90" s="4">
        <v>0.3257005670555191</v>
      </c>
      <c r="G90" s="4">
        <v>0.6571257088193989</v>
      </c>
      <c r="H90" s="15"/>
      <c r="I90" s="6">
        <v>33.18999862670898</v>
      </c>
      <c r="J90" s="7">
        <v>20.874212</v>
      </c>
      <c r="K90" s="7">
        <v>19.756775</v>
      </c>
      <c r="L90" s="4">
        <v>-0.3048650259585003</v>
      </c>
      <c r="M90" s="4">
        <v>-0.0098</v>
      </c>
      <c r="N90" s="4">
        <v>0.06710000000000001</v>
      </c>
      <c r="O90" s="3" t="s">
        <v>286</v>
      </c>
      <c r="P90" s="5">
        <v>32</v>
      </c>
      <c r="Q90" s="5">
        <v>42.66667</v>
      </c>
      <c r="R90" s="5">
        <v>44</v>
      </c>
      <c r="S90" s="5">
        <v>55</v>
      </c>
      <c r="T90" s="7">
        <v>1.59</v>
      </c>
      <c r="U90" s="7">
        <v>1.57435</v>
      </c>
      <c r="V90" s="7">
        <v>1.67993</v>
      </c>
    </row>
    <row r="91" spans="1:22" ht="18" customHeight="1">
      <c r="A91" s="3" t="s">
        <v>287</v>
      </c>
      <c r="B91" s="4">
        <v>0.00148069</v>
      </c>
      <c r="C91" s="4">
        <v>-0.3191055362768934</v>
      </c>
      <c r="D91" s="4">
        <v>0.06784831621954623</v>
      </c>
      <c r="E91" s="4">
        <v>0.7256296377750746</v>
      </c>
      <c r="F91" s="4">
        <v>0.759416162488268</v>
      </c>
      <c r="G91" s="4">
        <v>1.150397531930105</v>
      </c>
      <c r="H91" s="15"/>
      <c r="I91" s="6">
        <v>383.6499938964844</v>
      </c>
      <c r="J91" s="7">
        <v>155.95528</v>
      </c>
      <c r="K91" s="7">
        <v>36.284584</v>
      </c>
      <c r="L91" s="4">
        <v>-0.04788009526760351</v>
      </c>
      <c r="M91" s="4">
        <v>0.1225</v>
      </c>
      <c r="N91" s="4">
        <v>0.3752</v>
      </c>
      <c r="O91" s="3" t="s">
        <v>287</v>
      </c>
      <c r="P91" s="5">
        <v>409.68</v>
      </c>
      <c r="Q91" s="5">
        <v>662.0377999999999</v>
      </c>
      <c r="R91" s="5">
        <v>675</v>
      </c>
      <c r="S91" s="5">
        <v>825</v>
      </c>
      <c r="T91" s="7">
        <v>1.51</v>
      </c>
      <c r="U91" s="7">
        <v>7.68883</v>
      </c>
      <c r="V91" s="7">
        <v>10.57336</v>
      </c>
    </row>
    <row r="92" spans="1:22" ht="18" customHeight="1">
      <c r="A92" s="3" t="s">
        <v>181</v>
      </c>
      <c r="B92" s="4">
        <v>0.00135921</v>
      </c>
      <c r="C92" s="4">
        <v>0.8591039129090641</v>
      </c>
      <c r="D92" s="4">
        <v>-0.5546074647059795</v>
      </c>
      <c r="E92" s="4">
        <v>0.04161814345043147</v>
      </c>
      <c r="F92" s="4">
        <v>0.1603647630028426</v>
      </c>
      <c r="G92" s="4">
        <v>0.528399647430007</v>
      </c>
      <c r="H92" s="15"/>
      <c r="I92" s="6">
        <v>213.2949981689453</v>
      </c>
      <c r="J92" s="7">
        <v>250.93529</v>
      </c>
      <c r="K92" s="7">
        <v>70.6228</v>
      </c>
      <c r="L92" s="4">
        <v>-0.1473478926623909</v>
      </c>
      <c r="M92" s="4">
        <v>0.2207</v>
      </c>
      <c r="N92" s="4">
        <v>0.3978</v>
      </c>
      <c r="O92" s="3" t="s">
        <v>181</v>
      </c>
      <c r="P92" s="5">
        <v>95</v>
      </c>
      <c r="Q92" s="5">
        <v>222.17194</v>
      </c>
      <c r="R92" s="5">
        <v>247.5</v>
      </c>
      <c r="S92" s="5">
        <v>326</v>
      </c>
      <c r="T92" s="7">
        <v>0.85</v>
      </c>
      <c r="U92" s="7">
        <v>2.16063</v>
      </c>
      <c r="V92" s="7">
        <v>3.0202</v>
      </c>
    </row>
    <row r="93" spans="1:22" ht="18" customHeight="1">
      <c r="A93" s="3" t="s">
        <v>288</v>
      </c>
      <c r="B93" s="4">
        <v>0.00132086</v>
      </c>
      <c r="C93" s="4">
        <v>-0.2510894312331311</v>
      </c>
      <c r="D93" s="4">
        <v>0.04889460577071292</v>
      </c>
      <c r="E93" s="4">
        <v>0.2900979252085434</v>
      </c>
      <c r="F93" s="4">
        <v>0.290947207102416</v>
      </c>
      <c r="G93" s="4">
        <v>0.5814103287004595</v>
      </c>
      <c r="H93" s="15"/>
      <c r="I93" s="6">
        <v>61.97000122070312</v>
      </c>
      <c r="J93" s="7">
        <v>14.860911</v>
      </c>
      <c r="K93" s="7">
        <v>11.516789</v>
      </c>
      <c r="L93" s="4">
        <v>0.04836888888455082</v>
      </c>
      <c r="M93" s="4">
        <v>0.064</v>
      </c>
      <c r="N93" s="4">
        <v>0.1018</v>
      </c>
      <c r="O93" s="3" t="s">
        <v>288</v>
      </c>
      <c r="P93" s="5">
        <v>65</v>
      </c>
      <c r="Q93" s="5">
        <v>79.94737000000001</v>
      </c>
      <c r="R93" s="5">
        <v>80</v>
      </c>
      <c r="S93" s="5">
        <v>98</v>
      </c>
      <c r="T93" s="7">
        <v>4.55</v>
      </c>
      <c r="U93" s="7">
        <v>4.88373</v>
      </c>
      <c r="V93" s="7">
        <v>5.38084</v>
      </c>
    </row>
    <row r="94" spans="1:22" ht="18" customHeight="1">
      <c r="A94" s="3" t="s">
        <v>289</v>
      </c>
      <c r="B94" s="4">
        <v>0.0012944</v>
      </c>
      <c r="C94" s="4">
        <v>-0.03511673241475777</v>
      </c>
      <c r="D94" s="4">
        <v>-0.2655001225416876</v>
      </c>
      <c r="E94" s="4">
        <v>0.03125597441903127</v>
      </c>
      <c r="F94" s="4">
        <v>-0.006264871674047989</v>
      </c>
      <c r="G94" s="4">
        <v>0.8146467560734776</v>
      </c>
      <c r="H94" s="15"/>
      <c r="I94" s="6">
        <v>23.14500045776367</v>
      </c>
      <c r="J94" s="9" t="s">
        <v>79</v>
      </c>
      <c r="K94" s="7">
        <v>10.97929</v>
      </c>
      <c r="L94" s="4">
        <v>-0.164740677484697</v>
      </c>
      <c r="M94" s="4">
        <v>-0.20809999</v>
      </c>
      <c r="N94" s="4">
        <v>0.0239</v>
      </c>
      <c r="O94" s="3" t="s">
        <v>289</v>
      </c>
      <c r="P94" s="5">
        <v>17</v>
      </c>
      <c r="Q94" s="5">
        <v>23.86842</v>
      </c>
      <c r="R94" s="5">
        <v>23</v>
      </c>
      <c r="S94" s="5">
        <v>42</v>
      </c>
      <c r="T94" s="7">
        <v>-4.93</v>
      </c>
      <c r="U94" s="7">
        <v>2.05887</v>
      </c>
      <c r="V94" s="7">
        <v>2.10806</v>
      </c>
    </row>
    <row r="95" spans="1:22" ht="18" customHeight="1">
      <c r="A95" s="3" t="s">
        <v>222</v>
      </c>
      <c r="B95" s="4">
        <v>0.00124261</v>
      </c>
      <c r="C95" s="4">
        <v>-0.411778963987581</v>
      </c>
      <c r="D95" s="4">
        <v>-0.04997937132782215</v>
      </c>
      <c r="E95" s="4">
        <v>0.4805214000975402</v>
      </c>
      <c r="F95" s="4">
        <v>0.466336187733144</v>
      </c>
      <c r="G95" s="4">
        <v>1.478314683492638</v>
      </c>
      <c r="H95" s="15"/>
      <c r="I95" s="6">
        <v>121.0500030517578</v>
      </c>
      <c r="J95" s="7">
        <v>46.737453</v>
      </c>
      <c r="K95" s="7">
        <v>9.726056</v>
      </c>
      <c r="L95" s="4">
        <v>-0.1471569174773605</v>
      </c>
      <c r="M95" s="4">
        <v>0.14</v>
      </c>
      <c r="N95" s="4">
        <v>0.18290001</v>
      </c>
      <c r="O95" s="3" t="s">
        <v>222</v>
      </c>
      <c r="P95" s="5">
        <v>115</v>
      </c>
      <c r="Q95" s="5">
        <v>179.21712</v>
      </c>
      <c r="R95" s="5">
        <v>177.5</v>
      </c>
      <c r="S95" s="5">
        <v>300</v>
      </c>
      <c r="T95" s="7">
        <v>2.59</v>
      </c>
      <c r="U95" s="7">
        <v>10.52199</v>
      </c>
      <c r="V95" s="7">
        <v>12.44595</v>
      </c>
    </row>
    <row r="96" spans="1:22" ht="18" customHeight="1">
      <c r="A96" s="3" t="s">
        <v>224</v>
      </c>
      <c r="B96" s="4">
        <v>0.00112798</v>
      </c>
      <c r="C96" s="4">
        <v>-0.389378923381405</v>
      </c>
      <c r="D96" s="4">
        <v>0.1138112355269594</v>
      </c>
      <c r="E96" s="4">
        <v>0.4741018312168768</v>
      </c>
      <c r="F96" s="4">
        <v>0.4783312762448733</v>
      </c>
      <c r="G96" s="4">
        <v>0.8833535437092221</v>
      </c>
      <c r="H96" s="15"/>
      <c r="I96" s="6">
        <v>49.38000106811523</v>
      </c>
      <c r="J96" s="7">
        <v>10.711496</v>
      </c>
      <c r="K96" s="7">
        <v>8.016481000000001</v>
      </c>
      <c r="L96" s="4">
        <v>0.1038103541129514</v>
      </c>
      <c r="M96" s="4">
        <v>0.0771</v>
      </c>
      <c r="N96" s="4">
        <v>0.0832</v>
      </c>
      <c r="O96" s="3" t="s">
        <v>224</v>
      </c>
      <c r="P96" s="5">
        <v>55</v>
      </c>
      <c r="Q96" s="5">
        <v>72.79115</v>
      </c>
      <c r="R96" s="5">
        <v>73</v>
      </c>
      <c r="S96" s="5">
        <v>93</v>
      </c>
      <c r="T96" s="7">
        <v>4.56</v>
      </c>
      <c r="U96" s="7">
        <v>5.68697</v>
      </c>
      <c r="V96" s="7">
        <v>6.16017</v>
      </c>
    </row>
    <row r="97" spans="1:22" ht="18" customHeight="1">
      <c r="A97" s="3" t="s">
        <v>290</v>
      </c>
      <c r="B97" s="4">
        <v>0.00111635</v>
      </c>
      <c r="C97" s="4">
        <v>-0.3273337707284177</v>
      </c>
      <c r="D97" s="4">
        <v>-0.05641299044713588</v>
      </c>
      <c r="E97" s="4">
        <v>0.5105405902519813</v>
      </c>
      <c r="F97" s="4">
        <v>0.4490800503847556</v>
      </c>
      <c r="G97" s="4">
        <v>1.224169379660323</v>
      </c>
      <c r="H97" s="15"/>
      <c r="I97" s="6">
        <v>148.3699951171875</v>
      </c>
      <c r="J97" s="9" t="s">
        <v>79</v>
      </c>
      <c r="K97" s="7">
        <v>32.340824</v>
      </c>
      <c r="L97" s="4">
        <v>0.2381371443066811</v>
      </c>
      <c r="M97" s="4">
        <v>0.22600001</v>
      </c>
      <c r="N97" s="4">
        <v>0.1409</v>
      </c>
      <c r="O97" s="3" t="s">
        <v>290</v>
      </c>
      <c r="P97" s="5">
        <v>140</v>
      </c>
      <c r="Q97" s="5">
        <v>224.1189</v>
      </c>
      <c r="R97" s="5">
        <v>215</v>
      </c>
      <c r="S97" s="5">
        <v>330</v>
      </c>
      <c r="T97" s="7">
        <v>-0.27</v>
      </c>
      <c r="U97" s="7">
        <v>4.02118</v>
      </c>
      <c r="V97" s="7">
        <v>4.5877</v>
      </c>
    </row>
    <row r="98" spans="1:22" ht="18" customHeight="1">
      <c r="A98" s="3" t="s">
        <v>291</v>
      </c>
      <c r="B98" s="4">
        <v>0.00108198</v>
      </c>
      <c r="C98" s="4">
        <v>-0.2380999511565353</v>
      </c>
      <c r="D98" s="4">
        <v>0.1013871444634951</v>
      </c>
      <c r="E98" s="4">
        <v>0.324816326622567</v>
      </c>
      <c r="F98" s="4">
        <v>0.30975768530794</v>
      </c>
      <c r="G98" s="4">
        <v>0.6371971066349251</v>
      </c>
      <c r="H98" s="15"/>
      <c r="I98" s="6">
        <v>167.9700012207031</v>
      </c>
      <c r="J98" s="7">
        <v>25.56621</v>
      </c>
      <c r="K98" s="7">
        <v>19.402033</v>
      </c>
      <c r="L98" s="4">
        <v>-0.1762232429684486</v>
      </c>
      <c r="M98" s="4">
        <v>0.0684</v>
      </c>
      <c r="N98" s="4">
        <v>0.1317</v>
      </c>
      <c r="O98" s="3" t="s">
        <v>291</v>
      </c>
      <c r="P98" s="5">
        <v>185</v>
      </c>
      <c r="Q98" s="5">
        <v>222.5294</v>
      </c>
      <c r="R98" s="5">
        <v>220</v>
      </c>
      <c r="S98" s="5">
        <v>275</v>
      </c>
      <c r="T98" s="7">
        <v>6.48</v>
      </c>
      <c r="U98" s="7">
        <v>7.64958</v>
      </c>
      <c r="V98" s="7">
        <v>8.65734</v>
      </c>
    </row>
    <row r="99" spans="1:22" ht="18" customHeight="1">
      <c r="A99" s="3" t="s">
        <v>292</v>
      </c>
      <c r="B99" s="4">
        <v>0.00106458</v>
      </c>
      <c r="C99" s="4">
        <v>-0.1127141553472665</v>
      </c>
      <c r="D99" s="4">
        <v>0.1011350388642891</v>
      </c>
      <c r="E99" s="4">
        <v>0.4152409237267325</v>
      </c>
      <c r="F99" s="4">
        <v>0.3552431247560481</v>
      </c>
      <c r="G99" s="4">
        <v>0.8973403746584674</v>
      </c>
      <c r="H99" s="15"/>
      <c r="I99" s="6">
        <v>59.02999877929688</v>
      </c>
      <c r="J99" s="7">
        <v>25.339058</v>
      </c>
      <c r="K99" s="7">
        <v>19.348307</v>
      </c>
      <c r="L99" s="4">
        <v>-0.1545222580053245</v>
      </c>
      <c r="M99" s="4">
        <v>0.2343</v>
      </c>
      <c r="N99" s="4">
        <v>0.18370001</v>
      </c>
      <c r="O99" s="3" t="s">
        <v>292</v>
      </c>
      <c r="P99" s="5">
        <v>65</v>
      </c>
      <c r="Q99" s="5">
        <v>83.54167</v>
      </c>
      <c r="R99" s="5">
        <v>80</v>
      </c>
      <c r="S99" s="5">
        <v>112</v>
      </c>
      <c r="T99" s="7">
        <v>2.09</v>
      </c>
      <c r="U99" s="7">
        <v>2.57967</v>
      </c>
      <c r="V99" s="7">
        <v>3.0536</v>
      </c>
    </row>
    <row r="100" spans="1:22" ht="18" customHeight="1">
      <c r="A100" s="3" t="s">
        <v>293</v>
      </c>
      <c r="B100" s="4">
        <v>0.00099701</v>
      </c>
      <c r="C100" s="4">
        <v>-0.4068992437457227</v>
      </c>
      <c r="D100" s="4">
        <v>0.3326986761820696</v>
      </c>
      <c r="E100" s="4">
        <v>0.9490718139162766</v>
      </c>
      <c r="F100" s="4">
        <v>0.9990480142731042</v>
      </c>
      <c r="G100" s="4">
        <v>1.313184130801735</v>
      </c>
      <c r="H100" s="15"/>
      <c r="I100" s="6">
        <v>105.0500030517578</v>
      </c>
      <c r="J100" s="9" t="s">
        <v>79</v>
      </c>
      <c r="K100" s="7">
        <v>128.71251</v>
      </c>
      <c r="L100" s="4">
        <v>1.488062914640432</v>
      </c>
      <c r="M100" s="4">
        <v>0.5678</v>
      </c>
      <c r="N100" s="4">
        <v>1.1201999</v>
      </c>
      <c r="O100" s="3" t="s">
        <v>293</v>
      </c>
      <c r="P100" s="5">
        <v>140</v>
      </c>
      <c r="Q100" s="5">
        <v>204.75</v>
      </c>
      <c r="R100" s="5">
        <v>210</v>
      </c>
      <c r="S100" s="5">
        <v>243</v>
      </c>
      <c r="T100" s="7">
        <v>-6.42</v>
      </c>
      <c r="U100" s="7">
        <v>-2.77503</v>
      </c>
      <c r="V100" s="7">
        <v>0.33365</v>
      </c>
    </row>
    <row r="101" spans="1:22" ht="18" customHeight="1">
      <c r="A101" s="3" t="s">
        <v>294</v>
      </c>
      <c r="B101" s="4">
        <v>0.0008949600000000001</v>
      </c>
      <c r="C101" s="4">
        <v>-0.2909260075591085</v>
      </c>
      <c r="D101" s="4">
        <v>-0.1643923553361031</v>
      </c>
      <c r="E101" s="4">
        <v>0.6531048413839693</v>
      </c>
      <c r="F101" s="4">
        <v>0.465682763825787</v>
      </c>
      <c r="G101" s="4">
        <v>1.783112558437011</v>
      </c>
      <c r="H101" s="15"/>
      <c r="I101" s="6">
        <v>148.3950042724609</v>
      </c>
      <c r="J101" s="7">
        <v>4.0139303</v>
      </c>
      <c r="K101" s="7">
        <v>3.3560576</v>
      </c>
      <c r="L101" s="4">
        <v>-0.4024617250524809</v>
      </c>
      <c r="M101" s="4">
        <v>0.116000004</v>
      </c>
      <c r="N101" s="4">
        <v>0.0912</v>
      </c>
      <c r="O101" s="3" t="s">
        <v>294</v>
      </c>
      <c r="P101" s="5">
        <v>124</v>
      </c>
      <c r="Q101" s="5">
        <v>245.3125</v>
      </c>
      <c r="R101" s="5">
        <v>217.5</v>
      </c>
      <c r="S101" s="5">
        <v>413</v>
      </c>
      <c r="T101" s="7">
        <v>36.21</v>
      </c>
      <c r="U101" s="7">
        <v>41.90553</v>
      </c>
      <c r="V101" s="7">
        <v>45.58407</v>
      </c>
    </row>
    <row r="102" spans="1:22" ht="18" customHeight="1">
      <c r="A102" s="3" t="s">
        <v>295</v>
      </c>
      <c r="B102" s="4">
        <v>0.0006278200000000001</v>
      </c>
      <c r="C102" s="4">
        <v>-0.5034252135858734</v>
      </c>
      <c r="D102" s="4">
        <v>0.0116493280367278</v>
      </c>
      <c r="E102" s="4">
        <v>0.5118268428818296</v>
      </c>
      <c r="F102" s="4">
        <v>0.5328020121768602</v>
      </c>
      <c r="G102" s="4">
        <v>1.145922817047604</v>
      </c>
      <c r="H102" s="15"/>
      <c r="I102" s="6">
        <v>32.61999893188477</v>
      </c>
      <c r="J102" s="7">
        <v>465.99997</v>
      </c>
      <c r="K102" s="7">
        <v>18.347178</v>
      </c>
      <c r="L102" s="4">
        <v>-0.05068479280641713</v>
      </c>
      <c r="M102" s="4">
        <v>0.5657</v>
      </c>
      <c r="N102" s="4">
        <v>0.3053</v>
      </c>
      <c r="O102" s="3" t="s">
        <v>295</v>
      </c>
      <c r="P102" s="5">
        <v>33</v>
      </c>
      <c r="Q102" s="5">
        <v>49.31579</v>
      </c>
      <c r="R102" s="5">
        <v>50</v>
      </c>
      <c r="S102" s="5">
        <v>70</v>
      </c>
      <c r="T102" s="7">
        <v>0.02</v>
      </c>
      <c r="U102" s="7">
        <v>1.36213</v>
      </c>
      <c r="V102" s="7">
        <v>1.77793</v>
      </c>
    </row>
    <row r="105" spans="1:22" ht="18" customHeight="1">
      <c r="A105" s="16" t="s">
        <v>171</v>
      </c>
      <c r="B105" s="17">
        <f>SUM(B3:B102)</f>
        <v>0</v>
      </c>
      <c r="C105" s="17">
        <f>SUMPRODUCT(B3:B102,C3:C102)</f>
        <v>0</v>
      </c>
      <c r="D105" s="17">
        <f>SUMPRODUCT(B3:B102,D3:D102)</f>
        <v>0</v>
      </c>
      <c r="E105" s="17">
        <f>SUMPRODUCT(B3:B102,E3:E102)</f>
        <v>0</v>
      </c>
      <c r="F105" s="17">
        <f>SUMPRODUCT(B3:B102,F3:F102)</f>
        <v>0</v>
      </c>
      <c r="G105" s="17">
        <f>SUMPRODUCT(B3:B102,G3:G102)</f>
        <v>0</v>
      </c>
    </row>
  </sheetData>
  <mergeCells count="5">
    <mergeCell ref="D1:G1"/>
    <mergeCell ref="J1:K1"/>
    <mergeCell ref="L1:N1"/>
    <mergeCell ref="P1:S1"/>
    <mergeCell ref="T1:V1"/>
  </mergeCells>
  <conditionalFormatting sqref="C3:G102">
    <cfRule type="cellIs" dxfId="0" priority="1" operator="lessThan">
      <formula>0</formula>
    </cfRule>
    <cfRule type="cellIs" dxfId="1" priority="2" operator="greaterThanOrEqual">
      <formula>0.3</formula>
    </cfRule>
  </conditionalFormatting>
  <conditionalFormatting sqref="L3:N102">
    <cfRule type="cellIs" dxfId="0" priority="3" operator="lessThan">
      <formula>0</formula>
    </cfRule>
    <cfRule type="cellIs" dxfId="1" priority="4" operator="greaterThanOrEqual">
      <formula>0.3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PE_History_Data</vt:lpstr>
      <vt:lpstr>SPMO</vt:lpstr>
      <vt:lpstr>MAGS</vt:lpstr>
      <vt:lpstr>TECH_TO</vt:lpstr>
      <vt:lpstr>CHPS_TO</vt:lpstr>
      <vt:lpstr>SOXX</vt:lpstr>
      <vt:lpstr>SMH</vt:lpstr>
      <vt:lpstr>XLK</vt:lpstr>
      <vt:lpstr>QQQ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2026-05-11T18:54:41Z</dcterms:created>
  <dcterms:modified xsi:type="dcterms:W3CDTF">2026-05-11T18:54:41Z</dcterms:modified>
</cp:coreProperties>
</file>
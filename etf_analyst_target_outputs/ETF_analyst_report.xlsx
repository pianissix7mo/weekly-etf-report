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_History_Data" sheetId="2" state="hidden" r:id="rId2"/>
    <sheet name="SPMO" sheetId="3" r:id="rId3"/>
    <sheet name="MAGS" sheetId="4" r:id="rId4"/>
    <sheet name="TECH_TO" sheetId="5" r:id="rId5"/>
    <sheet name="CHPS_TO" sheetId="6" r:id="rId6"/>
    <sheet name="SOXX" sheetId="7" r:id="rId7"/>
    <sheet name="SMH" sheetId="8" r:id="rId8"/>
    <sheet name="XLK" sheetId="9" r:id="rId9"/>
    <sheet name="QQQ" sheetId="10" r:id="rId10"/>
  </sheets>
  <calcPr calcId="124519" fullCalcOnLoad="1"/>
</workbook>
</file>

<file path=xl/sharedStrings.xml><?xml version="1.0" encoding="utf-8"?>
<sst xmlns="http://schemas.openxmlformats.org/spreadsheetml/2006/main" count="1094" uniqueCount="296">
  <si>
    <t>5/11/2026</t>
  </si>
  <si>
    <t>reliable</t>
  </si>
  <si>
    <t>YTD</t>
  </si>
  <si>
    <t>Average</t>
  </si>
  <si>
    <t>Median</t>
  </si>
  <si>
    <t>WORST</t>
  </si>
  <si>
    <t>BEST</t>
  </si>
  <si>
    <t>Current pr</t>
  </si>
  <si>
    <t>worst price</t>
  </si>
  <si>
    <t>PE Ratio</t>
  </si>
  <si>
    <t>PE coverage</t>
  </si>
  <si>
    <t>Forward PE</t>
  </si>
  <si>
    <t>Forward PE coverage</t>
  </si>
  <si>
    <t>SPMO</t>
  </si>
  <si>
    <t>MAGS</t>
  </si>
  <si>
    <t>TECH.TO</t>
  </si>
  <si>
    <t>CHPS.TO</t>
  </si>
  <si>
    <t>SOXX</t>
  </si>
  <si>
    <t>SMH</t>
  </si>
  <si>
    <t>XLK</t>
  </si>
  <si>
    <t>QQQ</t>
  </si>
  <si>
    <t>Fear &amp; Greed Index</t>
  </si>
  <si>
    <t>Metric</t>
  </si>
  <si>
    <t>Score</t>
  </si>
  <si>
    <t>Rating</t>
  </si>
  <si>
    <t>As of</t>
  </si>
  <si>
    <t>Source</t>
  </si>
  <si>
    <t>CNN Fear &amp; Greed Index</t>
  </si>
  <si>
    <t>greed</t>
  </si>
  <si>
    <t>2026-05-11 14:17</t>
  </si>
  <si>
    <t>CNN</t>
  </si>
  <si>
    <t>VIX percentile analysis</t>
  </si>
  <si>
    <t>Period</t>
  </si>
  <si>
    <t>Start Date</t>
  </si>
  <si>
    <t>End Date</t>
  </si>
  <si>
    <t>Trading Days</t>
  </si>
  <si>
    <t>30th Percentile</t>
  </si>
  <si>
    <t>70th Percentile</t>
  </si>
  <si>
    <t>Mean</t>
  </si>
  <si>
    <t>Min</t>
  </si>
  <si>
    <t>Max</t>
  </si>
  <si>
    <t>Latest VIX</t>
  </si>
  <si>
    <t>Percentile Rank</t>
  </si>
  <si>
    <t>Last 20 Years</t>
  </si>
  <si>
    <t>2006-05-11</t>
  </si>
  <si>
    <t>2026-05-11</t>
  </si>
  <si>
    <t>Last 10 Years</t>
  </si>
  <si>
    <t>2016-05-11</t>
  </si>
  <si>
    <t>Last 5 Years</t>
  </si>
  <si>
    <t>2021-05-11</t>
  </si>
  <si>
    <t>Last 3 Years</t>
  </si>
  <si>
    <t>2023-05-11</t>
  </si>
  <si>
    <t>Date</t>
  </si>
  <si>
    <t>ETF</t>
  </si>
  <si>
    <t>Covered Weight</t>
  </si>
  <si>
    <t>PE history, last 1 year</t>
  </si>
  <si>
    <t>Weight</t>
  </si>
  <si>
    <t>Analyst Target Return</t>
  </si>
  <si>
    <t>Price</t>
  </si>
  <si>
    <t>PE ratio</t>
  </si>
  <si>
    <t>Growth</t>
  </si>
  <si>
    <t>12-month estimate price target</t>
  </si>
  <si>
    <t>EPS (Est Avg)</t>
  </si>
  <si>
    <t>% of Portfolio</t>
  </si>
  <si>
    <t>Worst</t>
  </si>
  <si>
    <t>Best</t>
  </si>
  <si>
    <t>Current</t>
  </si>
  <si>
    <t>Forward</t>
  </si>
  <si>
    <t>2025</t>
  </si>
  <si>
    <t>2026</t>
  </si>
  <si>
    <t>2027</t>
  </si>
  <si>
    <t>GOOGL</t>
  </si>
  <si>
    <t>NVDA</t>
  </si>
  <si>
    <t>MU</t>
  </si>
  <si>
    <t>AVGO</t>
  </si>
  <si>
    <t>JNJ</t>
  </si>
  <si>
    <t>AMD</t>
  </si>
  <si>
    <t>LRCX</t>
  </si>
  <si>
    <t>INTC</t>
  </si>
  <si>
    <t>-</t>
  </si>
  <si>
    <t>XOM</t>
  </si>
  <si>
    <t>CAT</t>
  </si>
  <si>
    <t>SNDK</t>
  </si>
  <si>
    <t>AMAT</t>
  </si>
  <si>
    <t>STX</t>
  </si>
  <si>
    <t>CSCO</t>
  </si>
  <si>
    <t>WDC</t>
  </si>
  <si>
    <t>GE</t>
  </si>
  <si>
    <t>GEV</t>
  </si>
  <si>
    <t>RTX</t>
  </si>
  <si>
    <t>KLAC</t>
  </si>
  <si>
    <t>GS</t>
  </si>
  <si>
    <t>PM</t>
  </si>
  <si>
    <t>PLTR</t>
  </si>
  <si>
    <t>KO</t>
  </si>
  <si>
    <t>NEM</t>
  </si>
  <si>
    <t>APH</t>
  </si>
  <si>
    <t>GLW</t>
  </si>
  <si>
    <t>C</t>
  </si>
  <si>
    <t>MS</t>
  </si>
  <si>
    <t>ADI</t>
  </si>
  <si>
    <t>GILD</t>
  </si>
  <si>
    <t>WELL</t>
  </si>
  <si>
    <t>CIEN</t>
  </si>
  <si>
    <t>HWM</t>
  </si>
  <si>
    <t>SCHW</t>
  </si>
  <si>
    <t>CMI</t>
  </si>
  <si>
    <t>PWR</t>
  </si>
  <si>
    <t>FIX</t>
  </si>
  <si>
    <t>LMT</t>
  </si>
  <si>
    <t>BK</t>
  </si>
  <si>
    <t>MO</t>
  </si>
  <si>
    <t>MCK</t>
  </si>
  <si>
    <t>GD</t>
  </si>
  <si>
    <t>MNST</t>
  </si>
  <si>
    <t>JCI</t>
  </si>
  <si>
    <t>CME</t>
  </si>
  <si>
    <t>PH</t>
  </si>
  <si>
    <t>LHX</t>
  </si>
  <si>
    <t>GM</t>
  </si>
  <si>
    <t>FCX</t>
  </si>
  <si>
    <t>HCA</t>
  </si>
  <si>
    <t>NOC</t>
  </si>
  <si>
    <t>MPWR</t>
  </si>
  <si>
    <t>WMB</t>
  </si>
  <si>
    <t>AEP</t>
  </si>
  <si>
    <t>CAH</t>
  </si>
  <si>
    <t>TEL</t>
  </si>
  <si>
    <t>TER</t>
  </si>
  <si>
    <t>COR</t>
  </si>
  <si>
    <t>HOOD</t>
  </si>
  <si>
    <t>ROK</t>
  </si>
  <si>
    <t>F</t>
  </si>
  <si>
    <t>VTR</t>
  </si>
  <si>
    <t>IDXX</t>
  </si>
  <si>
    <t>EME</t>
  </si>
  <si>
    <t>ETR</t>
  </si>
  <si>
    <t>EBAY</t>
  </si>
  <si>
    <t>DG</t>
  </si>
  <si>
    <t>CBOE</t>
  </si>
  <si>
    <t>STT</t>
  </si>
  <si>
    <t>ADM</t>
  </si>
  <si>
    <t>JBL</t>
  </si>
  <si>
    <t>CHRW</t>
  </si>
  <si>
    <t>TPR</t>
  </si>
  <si>
    <t>WEC</t>
  </si>
  <si>
    <t>CNP</t>
  </si>
  <si>
    <t>NTRS</t>
  </si>
  <si>
    <t>ALB</t>
  </si>
  <si>
    <t>ATO</t>
  </si>
  <si>
    <t>HSY</t>
  </si>
  <si>
    <t>ULTA</t>
  </si>
  <si>
    <t>NRG</t>
  </si>
  <si>
    <t>HII</t>
  </si>
  <si>
    <t>EXPD</t>
  </si>
  <si>
    <t>FE</t>
  </si>
  <si>
    <t>NI</t>
  </si>
  <si>
    <t>EVRG</t>
  </si>
  <si>
    <t>BG</t>
  </si>
  <si>
    <t>DLTR</t>
  </si>
  <si>
    <t>L</t>
  </si>
  <si>
    <t>LDOS</t>
  </si>
  <si>
    <t>ROL</t>
  </si>
  <si>
    <t>HAS</t>
  </si>
  <si>
    <t>FOXA</t>
  </si>
  <si>
    <t>RL</t>
  </si>
  <si>
    <t>IVZ</t>
  </si>
  <si>
    <t>TKO</t>
  </si>
  <si>
    <t>AGPXX</t>
  </si>
  <si>
    <t>FOX</t>
  </si>
  <si>
    <t>LUV</t>
  </si>
  <si>
    <t>TOTAL</t>
  </si>
  <si>
    <t>AMZN</t>
  </si>
  <si>
    <t>AAPL</t>
  </si>
  <si>
    <t>TSLA</t>
  </si>
  <si>
    <t>MSFT</t>
  </si>
  <si>
    <t>META</t>
  </si>
  <si>
    <t>NFLX</t>
  </si>
  <si>
    <t>TSM</t>
  </si>
  <si>
    <t>ASML</t>
  </si>
  <si>
    <t>QCOM</t>
  </si>
  <si>
    <t>ARM</t>
  </si>
  <si>
    <t>MRVL</t>
  </si>
  <si>
    <t>TXN</t>
  </si>
  <si>
    <t>NXPI</t>
  </si>
  <si>
    <t>MCHP</t>
  </si>
  <si>
    <t>ON</t>
  </si>
  <si>
    <t>CRDO</t>
  </si>
  <si>
    <t>ALAB</t>
  </si>
  <si>
    <t>MTSI</t>
  </si>
  <si>
    <t>ENTG</t>
  </si>
  <si>
    <t>ASX</t>
  </si>
  <si>
    <t>NVMI</t>
  </si>
  <si>
    <t>RMBS</t>
  </si>
  <si>
    <t>STM</t>
  </si>
  <si>
    <t>UMC</t>
  </si>
  <si>
    <t>SWKS</t>
  </si>
  <si>
    <t>SNPS</t>
  </si>
  <si>
    <t>CDNS</t>
  </si>
  <si>
    <t>ORCL</t>
  </si>
  <si>
    <t>IBM</t>
  </si>
  <si>
    <t>CRM</t>
  </si>
  <si>
    <t>PANW</t>
  </si>
  <si>
    <t>ANET</t>
  </si>
  <si>
    <t>CRWD</t>
  </si>
  <si>
    <t>APP</t>
  </si>
  <si>
    <t>ACN</t>
  </si>
  <si>
    <t>INTU</t>
  </si>
  <si>
    <t>ADBE</t>
  </si>
  <si>
    <t>NOW</t>
  </si>
  <si>
    <t>DELL</t>
  </si>
  <si>
    <t>FTNT</t>
  </si>
  <si>
    <t>DDOG</t>
  </si>
  <si>
    <t>LITE</t>
  </si>
  <si>
    <t>MSI</t>
  </si>
  <si>
    <t>COHR</t>
  </si>
  <si>
    <t>KEYS</t>
  </si>
  <si>
    <t>ADSK</t>
  </si>
  <si>
    <t>HPE</t>
  </si>
  <si>
    <t>ROP</t>
  </si>
  <si>
    <t>Q</t>
  </si>
  <si>
    <t>TDY</t>
  </si>
  <si>
    <t>WDAY</t>
  </si>
  <si>
    <t>FICO</t>
  </si>
  <si>
    <t>CTSH</t>
  </si>
  <si>
    <t>VRSN</t>
  </si>
  <si>
    <t>FSLR</t>
  </si>
  <si>
    <t>NTAP</t>
  </si>
  <si>
    <t>AKAM</t>
  </si>
  <si>
    <t>HPQ</t>
  </si>
  <si>
    <t>FFIV</t>
  </si>
  <si>
    <t>SMCI</t>
  </si>
  <si>
    <t>PTC</t>
  </si>
  <si>
    <t>TRMB</t>
  </si>
  <si>
    <t>TYL</t>
  </si>
  <si>
    <t>CDW</t>
  </si>
  <si>
    <t>GEN</t>
  </si>
  <si>
    <t>GDDY</t>
  </si>
  <si>
    <t>IT</t>
  </si>
  <si>
    <t>ZBRA</t>
  </si>
  <si>
    <t>EPAM</t>
  </si>
  <si>
    <t>IXTM6</t>
  </si>
  <si>
    <t>WMT</t>
  </si>
  <si>
    <t>COST</t>
  </si>
  <si>
    <t>LIN</t>
  </si>
  <si>
    <t>TMUS</t>
  </si>
  <si>
    <t>PEP</t>
  </si>
  <si>
    <t>AMGN</t>
  </si>
  <si>
    <t>ISRG</t>
  </si>
  <si>
    <t>HON</t>
  </si>
  <si>
    <t>SHOP</t>
  </si>
  <si>
    <t>BKNG</t>
  </si>
  <si>
    <t>SBUX</t>
  </si>
  <si>
    <t>CEG</t>
  </si>
  <si>
    <t>VRTX</t>
  </si>
  <si>
    <t>MAR</t>
  </si>
  <si>
    <t>CMCSA</t>
  </si>
  <si>
    <t>ADP</t>
  </si>
  <si>
    <t>CSX</t>
  </si>
  <si>
    <t>MELI</t>
  </si>
  <si>
    <t>MDLZ</t>
  </si>
  <si>
    <t>ORLY</t>
  </si>
  <si>
    <t>REGN</t>
  </si>
  <si>
    <t>ROST</t>
  </si>
  <si>
    <t>WBD</t>
  </si>
  <si>
    <t>DASH</t>
  </si>
  <si>
    <t>CTAS</t>
  </si>
  <si>
    <t>PDD</t>
  </si>
  <si>
    <t>BKR</t>
  </si>
  <si>
    <t>PCAR</t>
  </si>
  <si>
    <t>ABNB</t>
  </si>
  <si>
    <t>MSTR</t>
  </si>
  <si>
    <t>FANG</t>
  </si>
  <si>
    <t>FAST</t>
  </si>
  <si>
    <t>FER</t>
  </si>
  <si>
    <t>EA</t>
  </si>
  <si>
    <t>XEL</t>
  </si>
  <si>
    <t>EXC</t>
  </si>
  <si>
    <t>CCEP</t>
  </si>
  <si>
    <t>PYPL</t>
  </si>
  <si>
    <t>ODFL</t>
  </si>
  <si>
    <t>TTWO</t>
  </si>
  <si>
    <t>TRI</t>
  </si>
  <si>
    <t>KDP</t>
  </si>
  <si>
    <t>ALNY</t>
  </si>
  <si>
    <t>PAYX</t>
  </si>
  <si>
    <t>CPRT</t>
  </si>
  <si>
    <t>AXON</t>
  </si>
  <si>
    <t>GEHC</t>
  </si>
  <si>
    <t>KHC</t>
  </si>
  <si>
    <t>ZS</t>
  </si>
  <si>
    <t>VRSK</t>
  </si>
  <si>
    <t>DXCM</t>
  </si>
  <si>
    <t>INSM</t>
  </si>
  <si>
    <t>CHTR</t>
  </si>
  <si>
    <t>CSGP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</si>
</sst>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#,##0.00"/>
    <numFmt numFmtId="166" formatCode="0.00"/>
    <numFmt numFmtId="167" formatCode="#,##0"/>
    <numFmt numFmtId="168" formatCode="yyyy-mm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3" fillId="0" borderId="0" xfId="0" applyFont="1"/>
    <xf numFmtId="168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numFmt numFmtId="16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%"/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CHPS.TO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CHPS.TO Current PE</c:v>
          </c:tx>
          <c:marker>
            <c:symbol val="circle"/>
            <c:size val="4"/>
          </c:marker>
          <c:cat>
            <c:numRef>
              <c:f>PE_History_Data!$A$2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PE_History_Data!$C$2</c:f>
              <c:numCache>
                <c:formatCode>General</c:formatCode>
                <c:ptCount val="1"/>
                <c:pt idx="0">
                  <c:v>53.32705710313409</c:v>
                </c:pt>
              </c:numCache>
            </c:numRef>
          </c:val>
        </c:ser>
        <c:ser>
          <c:idx val="1"/>
          <c:order val="1"/>
          <c:tx>
            <c:v>CHPS.TO Forward PE</c:v>
          </c:tx>
          <c:marker>
            <c:symbol val="diamond"/>
            <c:size val="4"/>
          </c:marker>
          <c:cat>
            <c:numRef>
              <c:f>PE_History_Data!$A$2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PE_History_Data!$D$2</c:f>
              <c:numCache>
                <c:formatCode>General</c:formatCode>
                <c:ptCount val="1"/>
                <c:pt idx="0">
                  <c:v>25.97299879241849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MAGS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MAGS Current PE</c:v>
          </c:tx>
          <c:marker>
            <c:symbol val="circle"/>
            <c:size val="4"/>
          </c:marker>
          <c:cat>
            <c:numRef>
              <c:f>PE_History_Data!$A$3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PE_History_Data!$C$3</c:f>
              <c:numCache>
                <c:formatCode>General</c:formatCode>
                <c:ptCount val="1"/>
                <c:pt idx="0">
                  <c:v>34.53148244944686</c:v>
                </c:pt>
              </c:numCache>
            </c:numRef>
          </c:val>
        </c:ser>
        <c:ser>
          <c:idx val="1"/>
          <c:order val="1"/>
          <c:tx>
            <c:v>MAGS Forward PE</c:v>
          </c:tx>
          <c:marker>
            <c:symbol val="diamond"/>
            <c:size val="4"/>
          </c:marker>
          <c:cat>
            <c:numRef>
              <c:f>PE_History_Data!$A$3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PE_History_Data!$D$3</c:f>
              <c:numCache>
                <c:formatCode>General</c:formatCode>
                <c:ptCount val="1"/>
                <c:pt idx="0">
                  <c:v>26.08589601670652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QQQ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QQQ Current PE</c:v>
          </c:tx>
          <c:marker>
            <c:symbol val="circle"/>
            <c:size val="4"/>
          </c:marker>
          <c:cat>
            <c:numRef>
              <c:f>PE_History_Data!$A$4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PE_History_Data!$C$4</c:f>
              <c:numCache>
                <c:formatCode>General</c:formatCode>
                <c:ptCount val="1"/>
                <c:pt idx="0">
                  <c:v>36.61274523339704</c:v>
                </c:pt>
              </c:numCache>
            </c:numRef>
          </c:val>
        </c:ser>
        <c:ser>
          <c:idx val="1"/>
          <c:order val="1"/>
          <c:tx>
            <c:v>QQQ Forward PE</c:v>
          </c:tx>
          <c:marker>
            <c:symbol val="diamond"/>
            <c:size val="4"/>
          </c:marker>
          <c:cat>
            <c:numRef>
              <c:f>PE_History_Data!$A$4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PE_History_Data!$D$4</c:f>
              <c:numCache>
                <c:formatCode>General</c:formatCode>
                <c:ptCount val="1"/>
                <c:pt idx="0">
                  <c:v>22.73265684308589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SMH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SMH Current PE</c:v>
          </c:tx>
          <c:marker>
            <c:symbol val="circle"/>
            <c:size val="4"/>
          </c:marker>
          <c:cat>
            <c:numRef>
              <c:f>PE_History_Data!$A$5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PE_History_Data!$C$5</c:f>
              <c:numCache>
                <c:formatCode>General</c:formatCode>
                <c:ptCount val="1"/>
                <c:pt idx="0">
                  <c:v>54.62492179530582</c:v>
                </c:pt>
              </c:numCache>
            </c:numRef>
          </c:val>
        </c:ser>
        <c:ser>
          <c:idx val="1"/>
          <c:order val="1"/>
          <c:tx>
            <c:v>SMH Forward PE</c:v>
          </c:tx>
          <c:marker>
            <c:symbol val="diamond"/>
            <c:size val="4"/>
          </c:marker>
          <c:cat>
            <c:numRef>
              <c:f>PE_History_Data!$A$5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PE_History_Data!$D$5</c:f>
              <c:numCache>
                <c:formatCode>General</c:formatCode>
                <c:ptCount val="1"/>
                <c:pt idx="0">
                  <c:v>22.52323336195511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SOXX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SOXX Current PE</c:v>
          </c:tx>
          <c:marker>
            <c:symbol val="circle"/>
            <c:size val="4"/>
          </c:marker>
          <c:cat>
            <c:numRef>
              <c:f>PE_History_Data!$A$6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PE_History_Data!$C$6</c:f>
              <c:numCache>
                <c:formatCode>General</c:formatCode>
                <c:ptCount val="1"/>
                <c:pt idx="0">
                  <c:v>57.12305147755242</c:v>
                </c:pt>
              </c:numCache>
            </c:numRef>
          </c:val>
        </c:ser>
        <c:ser>
          <c:idx val="1"/>
          <c:order val="1"/>
          <c:tx>
            <c:v>SOXX Forward PE</c:v>
          </c:tx>
          <c:marker>
            <c:symbol val="diamond"/>
            <c:size val="4"/>
          </c:marker>
          <c:cat>
            <c:numRef>
              <c:f>PE_History_Data!$A$6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PE_History_Data!$D$6</c:f>
              <c:numCache>
                <c:formatCode>General</c:formatCode>
                <c:ptCount val="1"/>
                <c:pt idx="0">
                  <c:v>23.53933454639179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SPMO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SPMO Current PE</c:v>
          </c:tx>
          <c:marker>
            <c:symbol val="circle"/>
            <c:size val="4"/>
          </c:marker>
          <c:cat>
            <c:numRef>
              <c:f>PE_History_Data!$A$7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PE_History_Data!$C$7</c:f>
              <c:numCache>
                <c:formatCode>General</c:formatCode>
                <c:ptCount val="1"/>
                <c:pt idx="0">
                  <c:v>35.88867319884837</c:v>
                </c:pt>
              </c:numCache>
            </c:numRef>
          </c:val>
        </c:ser>
        <c:ser>
          <c:idx val="1"/>
          <c:order val="1"/>
          <c:tx>
            <c:v>SPMO Forward PE</c:v>
          </c:tx>
          <c:marker>
            <c:symbol val="diamond"/>
            <c:size val="4"/>
          </c:marker>
          <c:cat>
            <c:numRef>
              <c:f>PE_History_Data!$A$7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PE_History_Data!$D$7</c:f>
              <c:numCache>
                <c:formatCode>General</c:formatCode>
                <c:ptCount val="1"/>
                <c:pt idx="0">
                  <c:v>19.04521398750263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TECH.TO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TECH.TO Current PE</c:v>
          </c:tx>
          <c:marker>
            <c:symbol val="circle"/>
            <c:size val="4"/>
          </c:marker>
          <c:cat>
            <c:numRef>
              <c:f>PE_History_Data!$A$8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PE_History_Data!$C$8</c:f>
              <c:numCache>
                <c:formatCode>General</c:formatCode>
                <c:ptCount val="1"/>
                <c:pt idx="0">
                  <c:v>28.22738048024621</c:v>
                </c:pt>
              </c:numCache>
            </c:numRef>
          </c:val>
        </c:ser>
        <c:ser>
          <c:idx val="1"/>
          <c:order val="1"/>
          <c:tx>
            <c:v>TECH.TO Forward PE</c:v>
          </c:tx>
          <c:marker>
            <c:symbol val="diamond"/>
            <c:size val="4"/>
          </c:marker>
          <c:cat>
            <c:numRef>
              <c:f>PE_History_Data!$A$8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PE_History_Data!$D$8</c:f>
              <c:numCache>
                <c:formatCode>General</c:formatCode>
                <c:ptCount val="1"/>
                <c:pt idx="0">
                  <c:v>23.67423393518881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XLK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XLK Current PE</c:v>
          </c:tx>
          <c:marker>
            <c:symbol val="circle"/>
            <c:size val="4"/>
          </c:marker>
          <c:cat>
            <c:numRef>
              <c:f>PE_History_Data!$A$9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PE_History_Data!$C$9</c:f>
              <c:numCache>
                <c:formatCode>General</c:formatCode>
                <c:ptCount val="1"/>
                <c:pt idx="0">
                  <c:v>40.71619570965345</c:v>
                </c:pt>
              </c:numCache>
            </c:numRef>
          </c:val>
        </c:ser>
        <c:ser>
          <c:idx val="1"/>
          <c:order val="1"/>
          <c:tx>
            <c:v>XLK Forward PE</c:v>
          </c:tx>
          <c:marker>
            <c:symbol val="diamond"/>
            <c:size val="4"/>
          </c:marker>
          <c:cat>
            <c:numRef>
              <c:f>PE_History_Data!$A$9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PE_History_Data!$D$9</c:f>
              <c:numCache>
                <c:formatCode>General</c:formatCode>
                <c:ptCount val="1"/>
                <c:pt idx="0">
                  <c:v>21.56447268795337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80002"/>
        <c:crosses val="autoZero"/>
        <c:auto val="1"/>
        <c:lblOffset val="100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6</xdr:col>
      <xdr:colOff>581025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47625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6</xdr:col>
      <xdr:colOff>581025</xdr:colOff>
      <xdr:row>62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14</xdr:col>
      <xdr:colOff>47625</xdr:colOff>
      <xdr:row>62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6</xdr:col>
      <xdr:colOff>581025</xdr:colOff>
      <xdr:row>78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63</xdr:row>
      <xdr:rowOff>0</xdr:rowOff>
    </xdr:from>
    <xdr:to>
      <xdr:col>14</xdr:col>
      <xdr:colOff>47625</xdr:colOff>
      <xdr:row>78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6</xdr:col>
      <xdr:colOff>581025</xdr:colOff>
      <xdr:row>94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14</xdr:col>
      <xdr:colOff>47625</xdr:colOff>
      <xdr:row>94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N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2" max="2" width="14.7109375" customWidth="1"/>
    <col min="3" max="8" width="12.7109375" customWidth="1"/>
    <col min="9" max="14" width="14.7109375" customWidth="1"/>
    <col min="15" max="16" width="15.7109375" customWidth="1"/>
  </cols>
  <sheetData>
    <row r="4" spans="2:1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2:14">
      <c r="B5" s="3" t="s">
        <v>13</v>
      </c>
      <c r="C5" s="4">
        <v>0.9985614899999999</v>
      </c>
      <c r="D5" s="4">
        <v>0.2277471697384601</v>
      </c>
      <c r="E5" s="4">
        <v>0.04682796187075579</v>
      </c>
      <c r="F5" s="4">
        <v>0.05044493006213849</v>
      </c>
      <c r="G5" s="4">
        <v>-0.289724995623103</v>
      </c>
      <c r="H5" s="4">
        <v>0.3347392470320867</v>
      </c>
      <c r="I5" s="5">
        <v>146.5700073242188</v>
      </c>
      <c r="J5" s="6">
        <v>104.1050125937313</v>
      </c>
      <c r="K5" s="7">
        <v>35.88867319884837</v>
      </c>
      <c r="L5" s="4">
        <v>0.9996491399999999</v>
      </c>
      <c r="M5" s="7">
        <v>19.04521398750263</v>
      </c>
      <c r="N5" s="4">
        <v>0.9996491399999999</v>
      </c>
    </row>
    <row r="6" spans="2:14">
      <c r="B6" s="3" t="s">
        <v>14</v>
      </c>
      <c r="C6" s="4">
        <v>0.9984</v>
      </c>
      <c r="D6" s="4">
        <v>0.06748132491122871</v>
      </c>
      <c r="E6" s="4">
        <v>0.1612914614427509</v>
      </c>
      <c r="F6" s="4">
        <v>0.1762408105569092</v>
      </c>
      <c r="G6" s="4">
        <v>-0.2509327718242167</v>
      </c>
      <c r="H6" s="4">
        <v>0.545427596909968</v>
      </c>
      <c r="I6" s="5">
        <v>69.73000335693359</v>
      </c>
      <c r="J6" s="6">
        <v>52.23246033526631</v>
      </c>
      <c r="K6" s="7">
        <v>34.53148244944686</v>
      </c>
      <c r="L6" s="4">
        <v>0.9984</v>
      </c>
      <c r="M6" s="7">
        <v>26.08589601670652</v>
      </c>
      <c r="N6" s="4">
        <v>0.9984</v>
      </c>
    </row>
    <row r="7" spans="2:14">
      <c r="B7" s="3" t="s">
        <v>15</v>
      </c>
      <c r="C7" s="4">
        <v>0.9997295369999999</v>
      </c>
      <c r="D7" s="4">
        <v>0.03956039626956498</v>
      </c>
      <c r="E7" s="4">
        <v>0.2142502740380359</v>
      </c>
      <c r="F7" s="4">
        <v>0.2224267476925583</v>
      </c>
      <c r="G7" s="4">
        <v>-0.12853186710954</v>
      </c>
      <c r="H7" s="4">
        <v>0.581776601786042</v>
      </c>
      <c r="I7" s="5">
        <v>21.23999977111816</v>
      </c>
      <c r="J7" s="6">
        <v>18.50998294313015</v>
      </c>
      <c r="K7" s="7">
        <v>28.22738048024621</v>
      </c>
      <c r="L7" s="4">
        <v>0.9997295369999999</v>
      </c>
      <c r="M7" s="7">
        <v>23.67423393518881</v>
      </c>
      <c r="N7" s="4">
        <v>0.9997295369999999</v>
      </c>
    </row>
    <row r="8" spans="2:14">
      <c r="B8" s="3" t="s">
        <v>16</v>
      </c>
      <c r="C8" s="4">
        <v>0.9262</v>
      </c>
      <c r="D8" s="4">
        <v>0.3872030958911865</v>
      </c>
      <c r="E8" s="4">
        <v>0.07188869833472385</v>
      </c>
      <c r="F8" s="4">
        <v>0.08398189153939509</v>
      </c>
      <c r="G8" s="4">
        <v>-0.3019800398605766</v>
      </c>
      <c r="H8" s="4">
        <v>0.4069930734565745</v>
      </c>
      <c r="I8" s="5">
        <v>80.20999908447266</v>
      </c>
      <c r="J8" s="6">
        <v>55.98818036372679</v>
      </c>
      <c r="K8" s="7">
        <v>53.32705710313409</v>
      </c>
      <c r="L8" s="4">
        <v>0.9262</v>
      </c>
      <c r="M8" s="7">
        <v>25.97299879241849</v>
      </c>
      <c r="N8" s="4">
        <v>0.9262</v>
      </c>
    </row>
    <row r="9" spans="2:14">
      <c r="B9" s="3" t="s">
        <v>17</v>
      </c>
      <c r="C9" s="4">
        <v>0.9991</v>
      </c>
      <c r="D9" s="4">
        <v>0.6981350019688173</v>
      </c>
      <c r="E9" s="4">
        <v>-0.046994524970614</v>
      </c>
      <c r="F9" s="4">
        <v>-0.0445030485138589</v>
      </c>
      <c r="G9" s="4">
        <v>-0.3969215454782926</v>
      </c>
      <c r="H9" s="4">
        <v>0.2744379713894826</v>
      </c>
      <c r="I9" s="5">
        <v>532.22998046875</v>
      </c>
      <c r="J9" s="6">
        <v>320.9764340712123</v>
      </c>
      <c r="K9" s="7">
        <v>57.12305147755242</v>
      </c>
      <c r="L9" s="4">
        <v>0.9991</v>
      </c>
      <c r="M9" s="7">
        <v>23.53933454639179</v>
      </c>
      <c r="N9" s="4">
        <v>0.9991</v>
      </c>
    </row>
    <row r="10" spans="2:14">
      <c r="B10" s="3" t="s">
        <v>18</v>
      </c>
      <c r="C10" s="4">
        <v>0.9999</v>
      </c>
      <c r="D10" s="4">
        <v>0.545673771411969</v>
      </c>
      <c r="E10" s="4">
        <v>-0.04137752106052227</v>
      </c>
      <c r="F10" s="4">
        <v>-0.03692281459357934</v>
      </c>
      <c r="G10" s="4">
        <v>-0.4212110735106462</v>
      </c>
      <c r="H10" s="4">
        <v>0.2970180384284126</v>
      </c>
      <c r="I10" s="5">
        <v>576.510009765625</v>
      </c>
      <c r="J10" s="6">
        <v>333.677609662613</v>
      </c>
      <c r="K10" s="7">
        <v>54.62492179530582</v>
      </c>
      <c r="L10" s="4">
        <v>0.9999</v>
      </c>
      <c r="M10" s="7">
        <v>22.52323336195511</v>
      </c>
      <c r="N10" s="4">
        <v>0.9999</v>
      </c>
    </row>
    <row r="11" spans="2:14">
      <c r="B11" s="3" t="s">
        <v>19</v>
      </c>
      <c r="C11" s="4">
        <v>0.9974930900000001</v>
      </c>
      <c r="D11" s="4">
        <v>0.2359075884948187</v>
      </c>
      <c r="E11" s="4">
        <v>0.08481261994258887</v>
      </c>
      <c r="F11" s="4">
        <v>0.08059864943157811</v>
      </c>
      <c r="G11" s="4">
        <v>-0.3023808419214338</v>
      </c>
      <c r="H11" s="4">
        <v>0.5054117909589538</v>
      </c>
      <c r="I11" s="5">
        <v>178.1100006103516</v>
      </c>
      <c r="J11" s="6">
        <v>124.2529486711664</v>
      </c>
      <c r="K11" s="7">
        <v>40.71619570965345</v>
      </c>
      <c r="L11" s="4">
        <v>0.99909852</v>
      </c>
      <c r="M11" s="7">
        <v>21.56447268795337</v>
      </c>
      <c r="N11" s="4">
        <v>0.99909852</v>
      </c>
    </row>
    <row r="12" spans="2:14">
      <c r="B12" s="3" t="s">
        <v>20</v>
      </c>
      <c r="C12" s="4">
        <v>0.9990740999999999</v>
      </c>
      <c r="D12" s="4">
        <v>0.1662814267095185</v>
      </c>
      <c r="E12" s="4">
        <v>0.1048576258595618</v>
      </c>
      <c r="F12" s="4">
        <v>0.1112009831600815</v>
      </c>
      <c r="G12" s="4">
        <v>-0.2802240374167193</v>
      </c>
      <c r="H12" s="4">
        <v>0.4555992354197426</v>
      </c>
      <c r="I12" s="5">
        <v>714.1599731445312</v>
      </c>
      <c r="J12" s="6">
        <v>514.0351821085549</v>
      </c>
      <c r="K12" s="7">
        <v>36.61274523339704</v>
      </c>
      <c r="L12" s="4">
        <v>0.9990740999999999</v>
      </c>
      <c r="M12" s="7">
        <v>22.73265684308589</v>
      </c>
      <c r="N12" s="4">
        <v>0.9990740999999999</v>
      </c>
    </row>
    <row r="16" spans="2:14">
      <c r="B16" s="8" t="s">
        <v>21</v>
      </c>
    </row>
    <row r="17" spans="2:13"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</row>
    <row r="18" spans="2:13">
      <c r="B18" s="3" t="s">
        <v>27</v>
      </c>
      <c r="C18" s="7">
        <v>67.8</v>
      </c>
      <c r="D18" s="3" t="s">
        <v>28</v>
      </c>
      <c r="E18" s="9" t="s">
        <v>29</v>
      </c>
      <c r="F18" s="3" t="s">
        <v>30</v>
      </c>
    </row>
    <row r="21" spans="2:13">
      <c r="B21" s="8" t="s">
        <v>31</v>
      </c>
    </row>
    <row r="22" spans="2:13">
      <c r="B22" s="2" t="s">
        <v>32</v>
      </c>
      <c r="C22" s="2" t="s">
        <v>33</v>
      </c>
      <c r="D22" s="2" t="s">
        <v>34</v>
      </c>
      <c r="E22" s="2" t="s">
        <v>35</v>
      </c>
      <c r="F22" s="2" t="s">
        <v>4</v>
      </c>
      <c r="G22" s="2" t="s">
        <v>36</v>
      </c>
      <c r="H22" s="2" t="s">
        <v>37</v>
      </c>
      <c r="I22" s="2" t="s">
        <v>38</v>
      </c>
      <c r="J22" s="2" t="s">
        <v>39</v>
      </c>
      <c r="K22" s="2" t="s">
        <v>40</v>
      </c>
      <c r="L22" s="2" t="s">
        <v>41</v>
      </c>
      <c r="M22" s="2" t="s">
        <v>42</v>
      </c>
    </row>
    <row r="23" spans="2:13">
      <c r="B23" s="3" t="s">
        <v>43</v>
      </c>
      <c r="C23" s="9" t="s">
        <v>44</v>
      </c>
      <c r="D23" s="9" t="s">
        <v>45</v>
      </c>
      <c r="E23" s="10">
        <v>5031</v>
      </c>
      <c r="F23" s="7">
        <v>17.28</v>
      </c>
      <c r="G23" s="7">
        <v>14.56</v>
      </c>
      <c r="H23" s="7">
        <v>21.24</v>
      </c>
      <c r="I23" s="7">
        <v>19.61</v>
      </c>
      <c r="J23" s="7">
        <v>9.140000000000001</v>
      </c>
      <c r="K23" s="7">
        <v>82.69</v>
      </c>
      <c r="L23" s="7">
        <v>18.13</v>
      </c>
      <c r="M23" s="4">
        <v>0.5532</v>
      </c>
    </row>
    <row r="24" spans="2:13">
      <c r="B24" s="3" t="s">
        <v>46</v>
      </c>
      <c r="C24" s="9" t="s">
        <v>47</v>
      </c>
      <c r="D24" s="9" t="s">
        <v>45</v>
      </c>
      <c r="E24" s="10">
        <v>2514</v>
      </c>
      <c r="F24" s="7">
        <v>16.87</v>
      </c>
      <c r="G24" s="7">
        <v>14.22</v>
      </c>
      <c r="H24" s="7">
        <v>20.33</v>
      </c>
      <c r="I24" s="7">
        <v>18.55</v>
      </c>
      <c r="J24" s="7">
        <v>9.140000000000001</v>
      </c>
      <c r="K24" s="7">
        <v>82.69</v>
      </c>
      <c r="L24" s="7">
        <v>18.13</v>
      </c>
      <c r="M24" s="4">
        <v>0.5851</v>
      </c>
    </row>
    <row r="25" spans="2:13">
      <c r="B25" s="3" t="s">
        <v>48</v>
      </c>
      <c r="C25" s="9" t="s">
        <v>49</v>
      </c>
      <c r="D25" s="9" t="s">
        <v>45</v>
      </c>
      <c r="E25" s="10">
        <v>1256</v>
      </c>
      <c r="F25" s="7">
        <v>17.94</v>
      </c>
      <c r="G25" s="7">
        <v>16.09</v>
      </c>
      <c r="H25" s="7">
        <v>20.8</v>
      </c>
      <c r="I25" s="7">
        <v>19.24</v>
      </c>
      <c r="J25" s="7">
        <v>11.86</v>
      </c>
      <c r="K25" s="7">
        <v>52.33</v>
      </c>
      <c r="L25" s="7">
        <v>18.13</v>
      </c>
      <c r="M25" s="4">
        <v>0.5135000000000001</v>
      </c>
    </row>
    <row r="26" spans="2:13">
      <c r="B26" s="3" t="s">
        <v>50</v>
      </c>
      <c r="C26" s="9" t="s">
        <v>51</v>
      </c>
      <c r="D26" s="9" t="s">
        <v>45</v>
      </c>
      <c r="E26" s="10">
        <v>752</v>
      </c>
      <c r="F26" s="7">
        <v>16.32</v>
      </c>
      <c r="G26" s="7">
        <v>14.7</v>
      </c>
      <c r="H26" s="7">
        <v>18</v>
      </c>
      <c r="I26" s="7">
        <v>17.18</v>
      </c>
      <c r="J26" s="7">
        <v>11.86</v>
      </c>
      <c r="K26" s="7">
        <v>52.33</v>
      </c>
      <c r="L26" s="7">
        <v>18.13</v>
      </c>
      <c r="M26" s="4">
        <v>0.7101000000000001</v>
      </c>
    </row>
    <row r="30" spans="2:13">
      <c r="B30" s="11" t="s">
        <v>55</v>
      </c>
    </row>
  </sheetData>
  <conditionalFormatting sqref="D5:H12">
    <cfRule type="cellIs" dxfId="0" priority="1" operator="lessThan">
      <formula>0</formula>
    </cfRule>
    <cfRule type="cellIs" dxfId="1" priority="2" operator="greaterThanOrEqual">
      <formula>0.3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52</v>
      </c>
      <c r="B1" t="s">
        <v>53</v>
      </c>
      <c r="C1" t="s">
        <v>9</v>
      </c>
      <c r="D1" t="s">
        <v>11</v>
      </c>
      <c r="E1" t="s">
        <v>10</v>
      </c>
      <c r="F1" t="s">
        <v>12</v>
      </c>
      <c r="G1" t="s">
        <v>2</v>
      </c>
      <c r="H1" t="s">
        <v>54</v>
      </c>
    </row>
    <row r="2" spans="1:8">
      <c r="A2" s="12">
        <v>46153</v>
      </c>
      <c r="B2" t="s">
        <v>16</v>
      </c>
      <c r="C2" s="13">
        <v>53.32705710313409</v>
      </c>
      <c r="D2" s="13">
        <v>25.97299879241849</v>
      </c>
      <c r="E2" s="14">
        <v>0.9262</v>
      </c>
      <c r="F2" s="14">
        <v>0.9262</v>
      </c>
      <c r="G2" s="14">
        <v>0.3872030958911865</v>
      </c>
      <c r="H2" s="14">
        <v>0.9262</v>
      </c>
    </row>
    <row r="3" spans="1:8">
      <c r="A3" s="12">
        <v>46153</v>
      </c>
      <c r="B3" t="s">
        <v>14</v>
      </c>
      <c r="C3" s="13">
        <v>34.53148244944686</v>
      </c>
      <c r="D3" s="13">
        <v>26.08589601670652</v>
      </c>
      <c r="E3" s="14">
        <v>0.9984</v>
      </c>
      <c r="F3" s="14">
        <v>0.9984</v>
      </c>
      <c r="G3" s="14">
        <v>0.06748132491122871</v>
      </c>
      <c r="H3" s="14">
        <v>0.9984</v>
      </c>
    </row>
    <row r="4" spans="1:8">
      <c r="A4" s="12">
        <v>46153</v>
      </c>
      <c r="B4" t="s">
        <v>20</v>
      </c>
      <c r="C4" s="13">
        <v>36.61274523339704</v>
      </c>
      <c r="D4" s="13">
        <v>22.73265684308589</v>
      </c>
      <c r="E4" s="14">
        <v>0.9990740999999999</v>
      </c>
      <c r="F4" s="14">
        <v>0.9990740999999999</v>
      </c>
      <c r="G4" s="14">
        <v>0.1662814267095185</v>
      </c>
      <c r="H4" s="14">
        <v>0.9990740999999999</v>
      </c>
    </row>
    <row r="5" spans="1:8">
      <c r="A5" s="12">
        <v>46153</v>
      </c>
      <c r="B5" t="s">
        <v>18</v>
      </c>
      <c r="C5" s="13">
        <v>54.62492179530582</v>
      </c>
      <c r="D5" s="13">
        <v>22.52323336195511</v>
      </c>
      <c r="E5" s="14">
        <v>0.9999</v>
      </c>
      <c r="F5" s="14">
        <v>0.9999</v>
      </c>
      <c r="G5" s="14">
        <v>0.545673771411969</v>
      </c>
      <c r="H5" s="14">
        <v>0.9999</v>
      </c>
    </row>
    <row r="6" spans="1:8">
      <c r="A6" s="12">
        <v>46153</v>
      </c>
      <c r="B6" t="s">
        <v>17</v>
      </c>
      <c r="C6" s="13">
        <v>57.12305147755242</v>
      </c>
      <c r="D6" s="13">
        <v>23.53933454639179</v>
      </c>
      <c r="E6" s="14">
        <v>0.9991</v>
      </c>
      <c r="F6" s="14">
        <v>0.9991</v>
      </c>
      <c r="G6" s="14">
        <v>0.6981350019688173</v>
      </c>
      <c r="H6" s="14">
        <v>0.9991</v>
      </c>
    </row>
    <row r="7" spans="1:8">
      <c r="A7" s="12">
        <v>46153</v>
      </c>
      <c r="B7" t="s">
        <v>13</v>
      </c>
      <c r="C7" s="13">
        <v>35.88867319884837</v>
      </c>
      <c r="D7" s="13">
        <v>19.04521398750263</v>
      </c>
      <c r="E7" s="14">
        <v>0.9996491399999999</v>
      </c>
      <c r="F7" s="14">
        <v>0.9996491399999999</v>
      </c>
      <c r="G7" s="14">
        <v>0.2277471697384601</v>
      </c>
      <c r="H7" s="14">
        <v>0.9985614899999999</v>
      </c>
    </row>
    <row r="8" spans="1:8">
      <c r="A8" s="12">
        <v>46153</v>
      </c>
      <c r="B8" t="s">
        <v>15</v>
      </c>
      <c r="C8" s="13">
        <v>28.22738048024621</v>
      </c>
      <c r="D8" s="13">
        <v>23.67423393518881</v>
      </c>
      <c r="E8" s="14">
        <v>0.9997295369999999</v>
      </c>
      <c r="F8" s="14">
        <v>0.9997295369999999</v>
      </c>
      <c r="G8" s="14">
        <v>0.03956039626956498</v>
      </c>
      <c r="H8" s="14">
        <v>0.9997295369999999</v>
      </c>
    </row>
    <row r="9" spans="1:8">
      <c r="A9" s="12">
        <v>46153</v>
      </c>
      <c r="B9" t="s">
        <v>19</v>
      </c>
      <c r="C9" s="13">
        <v>40.71619570965345</v>
      </c>
      <c r="D9" s="13">
        <v>21.56447268795337</v>
      </c>
      <c r="E9" s="14">
        <v>0.99909852</v>
      </c>
      <c r="F9" s="14">
        <v>0.99909852</v>
      </c>
      <c r="G9" s="14">
        <v>0.2359075884948187</v>
      </c>
      <c r="H9" s="14">
        <v>0.9974930900000001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13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0.09500935000000001</v>
      </c>
      <c r="C3" s="4">
        <v>0.2472727790719207</v>
      </c>
      <c r="D3" s="4">
        <v>-0.149137698386801</v>
      </c>
      <c r="E3" s="4">
        <v>0.08932146416684539</v>
      </c>
      <c r="F3" s="4">
        <v>0.09470046584188729</v>
      </c>
      <c r="G3" s="4">
        <v>0.3110947439734231</v>
      </c>
      <c r="H3" s="15"/>
      <c r="I3" s="6">
        <v>392.801513671875</v>
      </c>
      <c r="J3" s="7">
        <v>29.961977</v>
      </c>
      <c r="K3" s="7">
        <v>27.156076</v>
      </c>
      <c r="L3" s="4">
        <v>0.6587965628566954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72</v>
      </c>
      <c r="B4" s="4">
        <v>0.09009693000000001</v>
      </c>
      <c r="C4" s="4">
        <v>0.1688744424200641</v>
      </c>
      <c r="D4" s="4">
        <v>-0.3657266003909734</v>
      </c>
      <c r="E4" s="4">
        <v>0.2194605620432819</v>
      </c>
      <c r="F4" s="4">
        <v>0.2005889349742289</v>
      </c>
      <c r="G4" s="4">
        <v>0.721599227510215</v>
      </c>
      <c r="H4" s="15"/>
      <c r="I4" s="6">
        <v>220.7250061035156</v>
      </c>
      <c r="J4" s="7">
        <v>44.954178</v>
      </c>
      <c r="K4" s="7">
        <v>19.557554</v>
      </c>
      <c r="L4" s="4">
        <v>0.3487891106312935</v>
      </c>
      <c r="M4" s="4">
        <v>0.7486</v>
      </c>
      <c r="N4" s="4">
        <v>0.3531</v>
      </c>
      <c r="O4" s="3" t="s">
        <v>72</v>
      </c>
      <c r="P4" s="5">
        <v>140</v>
      </c>
      <c r="Q4" s="5">
        <v>269.16544</v>
      </c>
      <c r="R4" s="5">
        <v>265</v>
      </c>
      <c r="S4" s="5">
        <v>380</v>
      </c>
      <c r="T4" s="7">
        <v>4.9</v>
      </c>
      <c r="U4" s="7">
        <v>8.34076</v>
      </c>
      <c r="V4" s="7">
        <v>11.28592</v>
      </c>
    </row>
    <row r="5" spans="1:22" ht="18" customHeight="1">
      <c r="A5" s="3" t="s">
        <v>73</v>
      </c>
      <c r="B5" s="4">
        <v>0.08621731000000001</v>
      </c>
      <c r="C5" s="4">
        <v>1.541838171474899</v>
      </c>
      <c r="D5" s="4">
        <v>-0.6893499362993206</v>
      </c>
      <c r="E5" s="4">
        <v>-0.2840017563127484</v>
      </c>
      <c r="F5" s="4">
        <v>-0.3138251605005073</v>
      </c>
      <c r="G5" s="4">
        <v>0.2475906172718048</v>
      </c>
      <c r="H5" s="15"/>
      <c r="I5" s="6">
        <v>801.5449829101562</v>
      </c>
      <c r="J5" s="7">
        <v>37.7909</v>
      </c>
      <c r="K5" s="7">
        <v>7.875108</v>
      </c>
      <c r="L5" s="4">
        <v>2.278889299551443</v>
      </c>
      <c r="M5" s="4">
        <v>0.060095</v>
      </c>
      <c r="N5" s="4">
        <v>0.7516</v>
      </c>
      <c r="O5" s="3" t="s">
        <v>73</v>
      </c>
      <c r="P5" s="5">
        <v>249</v>
      </c>
      <c r="Q5" s="5">
        <v>573.9048</v>
      </c>
      <c r="R5" s="5">
        <v>550</v>
      </c>
      <c r="S5" s="5">
        <v>1000</v>
      </c>
      <c r="T5" s="7">
        <v>7.59</v>
      </c>
      <c r="U5" s="7">
        <v>58.10855</v>
      </c>
      <c r="V5" s="7">
        <v>101.7821</v>
      </c>
    </row>
    <row r="6" spans="1:22" ht="18" customHeight="1">
      <c r="A6" s="3" t="s">
        <v>74</v>
      </c>
      <c r="B6" s="4">
        <v>0.07623114</v>
      </c>
      <c r="C6" s="4">
        <v>0.2383382480128604</v>
      </c>
      <c r="D6" s="4">
        <v>-0.1619526646135484</v>
      </c>
      <c r="E6" s="4">
        <v>0.1069044437292868</v>
      </c>
      <c r="F6" s="4">
        <v>0.1115766740195294</v>
      </c>
      <c r="G6" s="4">
        <v>0.4665828369262903</v>
      </c>
      <c r="H6" s="15"/>
      <c r="I6" s="6">
        <v>429.5700073242188</v>
      </c>
      <c r="J6" s="7">
        <v>83.90039</v>
      </c>
      <c r="K6" s="7">
        <v>23.709637</v>
      </c>
      <c r="L6" s="4">
        <v>0.5054207913071003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75</v>
      </c>
      <c r="B7" s="4">
        <v>0.03953757</v>
      </c>
      <c r="C7" s="4">
        <v>0.07455127723304944</v>
      </c>
      <c r="D7" s="4">
        <v>-0.3006362108688456</v>
      </c>
      <c r="E7" s="4">
        <v>0.1389101856197947</v>
      </c>
      <c r="F7" s="4">
        <v>0.168614331515929</v>
      </c>
      <c r="G7" s="4">
        <v>0.2859269671121225</v>
      </c>
      <c r="H7" s="15"/>
      <c r="I7" s="6">
        <v>221.6300048828125</v>
      </c>
      <c r="J7" s="7">
        <v>25.681345</v>
      </c>
      <c r="K7" s="7">
        <v>17.436848</v>
      </c>
      <c r="L7" s="4">
        <v>0.480939334199733</v>
      </c>
      <c r="M7" s="4">
        <v>0.0728</v>
      </c>
      <c r="N7" s="4">
        <v>0.09810001</v>
      </c>
      <c r="O7" s="3" t="s">
        <v>75</v>
      </c>
      <c r="P7" s="5">
        <v>155</v>
      </c>
      <c r="Q7" s="5">
        <v>252.41667</v>
      </c>
      <c r="R7" s="5">
        <v>259</v>
      </c>
      <c r="S7" s="5">
        <v>285</v>
      </c>
      <c r="T7" s="7">
        <v>11.03</v>
      </c>
      <c r="U7" s="7">
        <v>11.57529</v>
      </c>
      <c r="V7" s="7">
        <v>12.71044</v>
      </c>
    </row>
    <row r="8" spans="1:22" ht="18" customHeight="1">
      <c r="A8" s="3" t="s">
        <v>76</v>
      </c>
      <c r="B8" s="4">
        <v>0.03816115</v>
      </c>
      <c r="C8" s="4">
        <v>1.093927552332382</v>
      </c>
      <c r="D8" s="4">
        <v>-0.5191588410194135</v>
      </c>
      <c r="E8" s="4">
        <v>-0.0489585045506038</v>
      </c>
      <c r="F8" s="4">
        <v>-0.02763232295036955</v>
      </c>
      <c r="G8" s="4">
        <v>0.3356698860571847</v>
      </c>
      <c r="H8" s="15"/>
      <c r="I8" s="6">
        <v>467.9299926757812</v>
      </c>
      <c r="J8" s="7">
        <v>155.97667</v>
      </c>
      <c r="K8" s="7">
        <v>36.26681</v>
      </c>
      <c r="L8" s="4">
        <v>0.7753461704239681</v>
      </c>
      <c r="M8" s="4">
        <v>0.7586000000000001</v>
      </c>
      <c r="N8" s="4">
        <v>0.7594</v>
      </c>
      <c r="O8" s="3" t="s">
        <v>76</v>
      </c>
      <c r="P8" s="5">
        <v>225</v>
      </c>
      <c r="Q8" s="5">
        <v>445.02084</v>
      </c>
      <c r="R8" s="5">
        <v>455</v>
      </c>
      <c r="S8" s="5">
        <v>625</v>
      </c>
      <c r="T8" s="7">
        <v>2.65</v>
      </c>
      <c r="U8" s="7">
        <v>7.3335</v>
      </c>
      <c r="V8" s="7">
        <v>12.90243</v>
      </c>
    </row>
    <row r="9" spans="1:22" ht="18" customHeight="1">
      <c r="A9" s="3" t="s">
        <v>77</v>
      </c>
      <c r="B9" s="4">
        <v>0.03416103</v>
      </c>
      <c r="C9" s="4">
        <v>0.6064289505190827</v>
      </c>
      <c r="D9" s="4">
        <v>-0.259084614465947</v>
      </c>
      <c r="E9" s="4">
        <v>0.04559578910238882</v>
      </c>
      <c r="F9" s="4">
        <v>0.06085612019648501</v>
      </c>
      <c r="G9" s="4">
        <v>0.2966019246845928</v>
      </c>
      <c r="H9" s="15"/>
      <c r="I9" s="6">
        <v>296.9299926757812</v>
      </c>
      <c r="J9" s="7">
        <v>56.130432</v>
      </c>
      <c r="K9" s="7">
        <v>37.524612</v>
      </c>
      <c r="L9" s="4">
        <v>1.384700031317069</v>
      </c>
      <c r="M9" s="4">
        <v>0.37080002</v>
      </c>
      <c r="N9" s="4">
        <v>0.3944</v>
      </c>
      <c r="O9" s="3" t="s">
        <v>77</v>
      </c>
      <c r="P9" s="5">
        <v>220</v>
      </c>
      <c r="Q9" s="5">
        <v>310.46875</v>
      </c>
      <c r="R9" s="5">
        <v>315</v>
      </c>
      <c r="S9" s="5">
        <v>385</v>
      </c>
      <c r="T9" s="7">
        <v>4.15</v>
      </c>
      <c r="U9" s="7">
        <v>5.675</v>
      </c>
      <c r="V9" s="7">
        <v>7.91294</v>
      </c>
    </row>
    <row r="10" spans="1:22" ht="18" customHeight="1">
      <c r="A10" s="3" t="s">
        <v>78</v>
      </c>
      <c r="B10" s="4">
        <v>0.03362249</v>
      </c>
      <c r="C10" s="4">
        <v>2.228796294493459</v>
      </c>
      <c r="D10" s="4">
        <v>-0.8395597023800452</v>
      </c>
      <c r="E10" s="4">
        <v>-0.3503740890486144</v>
      </c>
      <c r="F10" s="4">
        <v>-0.3590252815673374</v>
      </c>
      <c r="G10" s="4">
        <v>-0.07196298435516335</v>
      </c>
      <c r="H10" s="15"/>
      <c r="I10" s="6">
        <v>127.1501007080078</v>
      </c>
      <c r="J10" s="9" t="s">
        <v>79</v>
      </c>
      <c r="K10" s="7">
        <v>83.06332</v>
      </c>
      <c r="L10" s="4">
        <v>0.8249259534597484</v>
      </c>
      <c r="M10" s="4">
        <v>0.015855</v>
      </c>
      <c r="N10" s="4">
        <v>0.4129</v>
      </c>
      <c r="O10" s="3" t="s">
        <v>78</v>
      </c>
      <c r="P10" s="5">
        <v>20.4</v>
      </c>
      <c r="Q10" s="5">
        <v>82.59999999999999</v>
      </c>
      <c r="R10" s="5">
        <v>81.5</v>
      </c>
      <c r="S10" s="5">
        <v>118</v>
      </c>
      <c r="T10" s="7">
        <v>-0.06</v>
      </c>
      <c r="U10" s="7">
        <v>1.08591</v>
      </c>
      <c r="V10" s="7">
        <v>1.53433</v>
      </c>
    </row>
    <row r="11" spans="1:22" ht="18" customHeight="1">
      <c r="A11" s="3" t="s">
        <v>80</v>
      </c>
      <c r="B11" s="4">
        <v>0.02890205</v>
      </c>
      <c r="C11" s="4">
        <v>0.2226900991124476</v>
      </c>
      <c r="D11" s="4">
        <v>-0.174330408860156</v>
      </c>
      <c r="E11" s="4">
        <v>0.1161491484024517</v>
      </c>
      <c r="F11" s="4">
        <v>0.1076055490900345</v>
      </c>
      <c r="G11" s="4">
        <v>0.3089883761973136</v>
      </c>
      <c r="H11" s="15"/>
      <c r="I11" s="6">
        <v>148.9700012207031</v>
      </c>
      <c r="J11" s="7">
        <v>25.079124</v>
      </c>
      <c r="K11" s="7">
        <v>14.581272</v>
      </c>
      <c r="L11" s="4">
        <v>0.1625816301197502</v>
      </c>
      <c r="M11" s="4">
        <v>0.5173</v>
      </c>
      <c r="N11" s="4">
        <v>-0.0367</v>
      </c>
      <c r="O11" s="3" t="s">
        <v>80</v>
      </c>
      <c r="P11" s="5">
        <v>123</v>
      </c>
      <c r="Q11" s="5">
        <v>166.27274</v>
      </c>
      <c r="R11" s="5">
        <v>165</v>
      </c>
      <c r="S11" s="5">
        <v>195</v>
      </c>
      <c r="T11" s="7">
        <v>6.7</v>
      </c>
      <c r="U11" s="7">
        <v>10.60568</v>
      </c>
      <c r="V11" s="7">
        <v>10.21653</v>
      </c>
    </row>
    <row r="12" spans="1:22" ht="18" customHeight="1">
      <c r="A12" s="3" t="s">
        <v>81</v>
      </c>
      <c r="B12" s="4">
        <v>0.02790108</v>
      </c>
      <c r="C12" s="4">
        <v>0.5549658727612643</v>
      </c>
      <c r="D12" s="4">
        <v>-0.3794323262875899</v>
      </c>
      <c r="E12" s="4">
        <v>-0.02470670276193065</v>
      </c>
      <c r="F12" s="4">
        <v>-0.02328044398307638</v>
      </c>
      <c r="G12" s="4">
        <v>0.2573240693477525</v>
      </c>
      <c r="H12" s="15"/>
      <c r="I12" s="6">
        <v>926.5709838867188</v>
      </c>
      <c r="J12" s="7">
        <v>46.098057</v>
      </c>
      <c r="K12" s="7">
        <v>31.617561</v>
      </c>
      <c r="L12" s="4">
        <v>0.6163687995268254</v>
      </c>
      <c r="M12" s="4">
        <v>0.2733</v>
      </c>
      <c r="N12" s="4">
        <v>0.2125</v>
      </c>
      <c r="O12" s="3" t="s">
        <v>81</v>
      </c>
      <c r="P12" s="5">
        <v>575</v>
      </c>
      <c r="Q12" s="5">
        <v>903.6784699999999</v>
      </c>
      <c r="R12" s="5">
        <v>905</v>
      </c>
      <c r="S12" s="5">
        <v>1165</v>
      </c>
      <c r="T12" s="7">
        <v>18.81</v>
      </c>
      <c r="U12" s="7">
        <v>24.26972</v>
      </c>
      <c r="V12" s="7">
        <v>29.42789</v>
      </c>
    </row>
    <row r="13" spans="1:22" ht="18" customHeight="1">
      <c r="A13" s="3" t="s">
        <v>82</v>
      </c>
      <c r="B13" s="4">
        <v>0.02367993</v>
      </c>
      <c r="C13" s="4">
        <v>4.677845062414459</v>
      </c>
      <c r="D13" s="4">
        <v>-0.3601351214661467</v>
      </c>
      <c r="E13" s="4">
        <v>-0.1047999850656537</v>
      </c>
      <c r="F13" s="4">
        <v>-0.136182413979298</v>
      </c>
      <c r="G13" s="4">
        <v>0.2797297570677066</v>
      </c>
      <c r="H13" s="15"/>
      <c r="I13" s="6">
        <v>1562.829956054688</v>
      </c>
      <c r="J13" s="7">
        <v>53.48289</v>
      </c>
      <c r="K13" s="7">
        <v>9.233114</v>
      </c>
      <c r="L13" s="4">
        <v>5.59388902452257</v>
      </c>
      <c r="M13" s="4">
        <v>0.205815</v>
      </c>
      <c r="N13" s="4">
        <v>0.01623</v>
      </c>
      <c r="O13" s="3" t="s">
        <v>82</v>
      </c>
      <c r="P13" s="5">
        <v>1000</v>
      </c>
      <c r="Q13" s="5">
        <v>1399.0454</v>
      </c>
      <c r="R13" s="5">
        <v>1350</v>
      </c>
      <c r="S13" s="5">
        <v>2000</v>
      </c>
      <c r="T13" s="7">
        <v>-11.32</v>
      </c>
      <c r="U13" s="7">
        <v>64.52876000000001</v>
      </c>
      <c r="V13" s="7">
        <v>169.2571</v>
      </c>
    </row>
    <row r="14" spans="1:22" ht="18" customHeight="1">
      <c r="A14" s="3" t="s">
        <v>83</v>
      </c>
      <c r="B14" s="4">
        <v>0.01792911</v>
      </c>
      <c r="C14" s="4">
        <v>0.6606022848485082</v>
      </c>
      <c r="D14" s="4">
        <v>-0.3720987495820283</v>
      </c>
      <c r="E14" s="4">
        <v>-0.01468311794076116</v>
      </c>
      <c r="F14" s="4">
        <v>-0.002085512728580707</v>
      </c>
      <c r="G14" s="4">
        <v>0.2333774561781587</v>
      </c>
      <c r="H14" s="15"/>
      <c r="I14" s="6">
        <v>445.9299926757812</v>
      </c>
      <c r="J14" s="7">
        <v>45.73641</v>
      </c>
      <c r="K14" s="7">
        <v>30.979774</v>
      </c>
      <c r="L14" s="4">
        <v>0.5839538623588496</v>
      </c>
      <c r="M14" s="4">
        <v>0.17959999</v>
      </c>
      <c r="N14" s="4">
        <v>0.2953</v>
      </c>
      <c r="O14" s="3" t="s">
        <v>83</v>
      </c>
      <c r="P14" s="5">
        <v>280</v>
      </c>
      <c r="Q14" s="5">
        <v>439.38235</v>
      </c>
      <c r="R14" s="5">
        <v>445</v>
      </c>
      <c r="S14" s="5">
        <v>550</v>
      </c>
      <c r="T14" s="7">
        <v>8.66</v>
      </c>
      <c r="U14" s="7">
        <v>11.11229</v>
      </c>
      <c r="V14" s="7">
        <v>14.39423</v>
      </c>
    </row>
    <row r="15" spans="1:22" ht="18" customHeight="1">
      <c r="A15" s="3" t="s">
        <v>84</v>
      </c>
      <c r="B15" s="4">
        <v>0.01749722</v>
      </c>
      <c r="C15" s="4">
        <v>1.909880217365973</v>
      </c>
      <c r="D15" s="4">
        <v>-0.3475007482789584</v>
      </c>
      <c r="E15" s="4">
        <v>-0.04824363962885359</v>
      </c>
      <c r="F15" s="4">
        <v>-0.07692307692307687</v>
      </c>
      <c r="G15" s="4">
        <v>0.1972463334331038</v>
      </c>
      <c r="H15" s="15"/>
      <c r="I15" s="6">
        <v>835.25</v>
      </c>
      <c r="J15" s="7">
        <v>79.02081</v>
      </c>
      <c r="K15" s="7">
        <v>31.791132</v>
      </c>
      <c r="L15" s="4">
        <v>2.24961241093072</v>
      </c>
      <c r="M15" s="4">
        <v>0.8376</v>
      </c>
      <c r="N15" s="4">
        <v>0.7651</v>
      </c>
      <c r="O15" s="3" t="s">
        <v>84</v>
      </c>
      <c r="P15" s="5">
        <v>545</v>
      </c>
      <c r="Q15" s="5">
        <v>794.9545000000001</v>
      </c>
      <c r="R15" s="5">
        <v>771</v>
      </c>
      <c r="S15" s="5">
        <v>1000</v>
      </c>
      <c r="T15" s="7">
        <v>1.58</v>
      </c>
      <c r="U15" s="7">
        <v>14.88438</v>
      </c>
      <c r="V15" s="7">
        <v>26.27305</v>
      </c>
    </row>
    <row r="16" spans="1:22" ht="18" customHeight="1">
      <c r="A16" s="3" t="s">
        <v>85</v>
      </c>
      <c r="B16" s="4">
        <v>0.01692165</v>
      </c>
      <c r="C16" s="4">
        <v>0.3005851911631192</v>
      </c>
      <c r="D16" s="4">
        <v>-0.2375220677187814</v>
      </c>
      <c r="E16" s="4">
        <v>-0.08965675558597064</v>
      </c>
      <c r="F16" s="4">
        <v>-0.08502648126253765</v>
      </c>
      <c r="G16" s="4">
        <v>0.1183009673457873</v>
      </c>
      <c r="H16" s="15"/>
      <c r="I16" s="6">
        <v>98.36350250244141</v>
      </c>
      <c r="J16" s="7">
        <v>35.382557</v>
      </c>
      <c r="K16" s="7">
        <v>21.802452</v>
      </c>
      <c r="L16" s="4">
        <v>0.3369957025476586</v>
      </c>
      <c r="M16" s="4">
        <v>0.091800004</v>
      </c>
      <c r="N16" s="4">
        <v>0.08459999999999999</v>
      </c>
      <c r="O16" s="3" t="s">
        <v>85</v>
      </c>
      <c r="P16" s="5">
        <v>75</v>
      </c>
      <c r="Q16" s="5">
        <v>89.54455</v>
      </c>
      <c r="R16" s="5">
        <v>90</v>
      </c>
      <c r="S16" s="5">
        <v>110</v>
      </c>
      <c r="T16" s="7">
        <v>2.61</v>
      </c>
      <c r="U16" s="7">
        <v>4.15994</v>
      </c>
      <c r="V16" s="7">
        <v>4.51172</v>
      </c>
    </row>
    <row r="17" spans="1:22" ht="18" customHeight="1">
      <c r="A17" s="3" t="s">
        <v>86</v>
      </c>
      <c r="B17" s="4">
        <v>0.0166925</v>
      </c>
      <c r="C17" s="4">
        <v>1.754141405498819</v>
      </c>
      <c r="D17" s="4">
        <v>-0.3032775218100817</v>
      </c>
      <c r="E17" s="4">
        <v>-0.040687038821975</v>
      </c>
      <c r="F17" s="4">
        <v>-0.03232989140289133</v>
      </c>
      <c r="G17" s="4">
        <v>0.2773245433481835</v>
      </c>
      <c r="H17" s="15"/>
      <c r="I17" s="6">
        <v>516.7050170898438</v>
      </c>
      <c r="J17" s="7">
        <v>30.940418</v>
      </c>
      <c r="K17" s="7">
        <v>29.665241</v>
      </c>
      <c r="L17" s="4">
        <v>2.697874935843371</v>
      </c>
      <c r="M17" s="4">
        <v>1.0124</v>
      </c>
      <c r="N17" s="4">
        <v>0.7556</v>
      </c>
      <c r="O17" s="3" t="s">
        <v>86</v>
      </c>
      <c r="P17" s="5">
        <v>360</v>
      </c>
      <c r="Q17" s="5">
        <v>495.68182</v>
      </c>
      <c r="R17" s="5">
        <v>500</v>
      </c>
      <c r="S17" s="5">
        <v>660</v>
      </c>
      <c r="T17" s="7">
        <v>5.12</v>
      </c>
      <c r="U17" s="7">
        <v>9.92107</v>
      </c>
      <c r="V17" s="7">
        <v>17.41786</v>
      </c>
    </row>
    <row r="18" spans="1:22" ht="18" customHeight="1">
      <c r="A18" s="3" t="s">
        <v>87</v>
      </c>
      <c r="B18" s="4">
        <v>0.01568233</v>
      </c>
      <c r="C18" s="4">
        <v>-0.06214321268468714</v>
      </c>
      <c r="D18" s="4">
        <v>-0.001331537631862334</v>
      </c>
      <c r="E18" s="4">
        <v>0.1666112087897129</v>
      </c>
      <c r="F18" s="4">
        <v>0.1734354432825618</v>
      </c>
      <c r="G18" s="4">
        <v>0.3482024241969859</v>
      </c>
      <c r="H18" s="15"/>
      <c r="I18" s="6">
        <v>300.3999938964844</v>
      </c>
      <c r="J18" s="7">
        <v>37.31677</v>
      </c>
      <c r="K18" s="7">
        <v>34.635227</v>
      </c>
      <c r="L18" s="4">
        <v>0.8375071067988353</v>
      </c>
      <c r="M18" s="4">
        <v>0.18620001</v>
      </c>
      <c r="N18" s="4">
        <v>0.1478</v>
      </c>
      <c r="O18" s="3" t="s">
        <v>87</v>
      </c>
      <c r="P18" s="5">
        <v>300</v>
      </c>
      <c r="Q18" s="5">
        <v>350.45</v>
      </c>
      <c r="R18" s="5">
        <v>352.5</v>
      </c>
      <c r="S18" s="5">
        <v>405</v>
      </c>
      <c r="T18" s="7">
        <v>8.140000000000001</v>
      </c>
      <c r="U18" s="7">
        <v>7.55623</v>
      </c>
      <c r="V18" s="7">
        <v>9.20007</v>
      </c>
    </row>
    <row r="19" spans="1:22" ht="18" customHeight="1">
      <c r="A19" s="3" t="s">
        <v>88</v>
      </c>
      <c r="B19" s="4">
        <v>0.01490566</v>
      </c>
      <c r="C19" s="4">
        <v>0.5931135572513373</v>
      </c>
      <c r="D19" s="4">
        <v>-0.226749312193674</v>
      </c>
      <c r="E19" s="4">
        <v>0.115994517646987</v>
      </c>
      <c r="F19" s="4">
        <v>0.1561762676529994</v>
      </c>
      <c r="G19" s="4">
        <v>0.3171160041102969</v>
      </c>
      <c r="H19" s="15"/>
      <c r="I19" s="6">
        <v>1081.150024414062</v>
      </c>
      <c r="J19" s="7">
        <v>31.594097</v>
      </c>
      <c r="K19" s="7">
        <v>44.15173</v>
      </c>
      <c r="L19" s="4">
        <v>0.9313913545336894</v>
      </c>
      <c r="M19" s="4">
        <v>-0.0888</v>
      </c>
      <c r="N19" s="4">
        <v>0.612</v>
      </c>
      <c r="O19" s="3" t="s">
        <v>88</v>
      </c>
      <c r="P19" s="5">
        <v>836</v>
      </c>
      <c r="Q19" s="5">
        <v>1206.5575</v>
      </c>
      <c r="R19" s="5">
        <v>1250</v>
      </c>
      <c r="S19" s="5">
        <v>1424</v>
      </c>
      <c r="T19" s="7">
        <v>17.69</v>
      </c>
      <c r="U19" s="7">
        <v>30.9257</v>
      </c>
      <c r="V19" s="7">
        <v>24.27232</v>
      </c>
    </row>
    <row r="20" spans="1:22" ht="18" customHeight="1">
      <c r="A20" s="3" t="s">
        <v>89</v>
      </c>
      <c r="B20" s="4">
        <v>0.01429881</v>
      </c>
      <c r="C20" s="4">
        <v>-0.03970487430618874</v>
      </c>
      <c r="D20" s="4">
        <v>0.004352185994778157</v>
      </c>
      <c r="E20" s="4">
        <v>0.2060874820205627</v>
      </c>
      <c r="F20" s="4">
        <v>0.2414908965768785</v>
      </c>
      <c r="G20" s="4">
        <v>0.350295716726313</v>
      </c>
      <c r="H20" s="15"/>
      <c r="I20" s="6">
        <v>179.2200012207031</v>
      </c>
      <c r="J20" s="7">
        <v>33.5618</v>
      </c>
      <c r="K20" s="7">
        <v>23.73932</v>
      </c>
      <c r="L20" s="4">
        <v>0.6103721051779736</v>
      </c>
      <c r="M20" s="4">
        <v>0.0979</v>
      </c>
      <c r="N20" s="4">
        <v>0.09320000000000001</v>
      </c>
      <c r="O20" s="3" t="s">
        <v>89</v>
      </c>
      <c r="P20" s="5">
        <v>180</v>
      </c>
      <c r="Q20" s="5">
        <v>216.155</v>
      </c>
      <c r="R20" s="5">
        <v>222.5</v>
      </c>
      <c r="S20" s="5">
        <v>242</v>
      </c>
      <c r="T20" s="7">
        <v>4.96</v>
      </c>
      <c r="U20" s="7">
        <v>6.90587</v>
      </c>
      <c r="V20" s="7">
        <v>7.5495</v>
      </c>
    </row>
    <row r="21" spans="1:22" ht="18" customHeight="1">
      <c r="A21" s="3" t="s">
        <v>90</v>
      </c>
      <c r="B21" s="4">
        <v>0.01411384</v>
      </c>
      <c r="C21" s="4">
        <v>0.4650113470828219</v>
      </c>
      <c r="D21" s="4">
        <v>-0.2492049380905683</v>
      </c>
      <c r="E21" s="4">
        <v>-0.0155708146225928</v>
      </c>
      <c r="F21" s="4">
        <v>0.005529100771560325</v>
      </c>
      <c r="G21" s="4">
        <v>0.1261925928641474</v>
      </c>
      <c r="H21" s="15"/>
      <c r="I21" s="6">
        <v>1864.68994140625</v>
      </c>
      <c r="J21" s="7">
        <v>52.77922</v>
      </c>
      <c r="K21" s="7">
        <v>37.513954</v>
      </c>
      <c r="L21" s="4">
        <v>0.9249564605495981</v>
      </c>
      <c r="M21" s="4">
        <v>0.11399999</v>
      </c>
      <c r="N21" s="4">
        <v>0.34080002</v>
      </c>
      <c r="O21" s="3" t="s">
        <v>90</v>
      </c>
      <c r="P21" s="5">
        <v>1400</v>
      </c>
      <c r="Q21" s="5">
        <v>1835.6552</v>
      </c>
      <c r="R21" s="5">
        <v>1875</v>
      </c>
      <c r="S21" s="5">
        <v>2100</v>
      </c>
      <c r="T21" s="7">
        <v>20.28</v>
      </c>
      <c r="U21" s="7">
        <v>37.0733</v>
      </c>
      <c r="V21" s="7">
        <v>49.70657</v>
      </c>
    </row>
    <row r="22" spans="1:22" ht="18" customHeight="1">
      <c r="A22" s="3" t="s">
        <v>91</v>
      </c>
      <c r="B22" s="4">
        <v>0.01360697</v>
      </c>
      <c r="C22" s="4">
        <v>0.04229189925380417</v>
      </c>
      <c r="D22" s="4">
        <v>-0.2299740670445444</v>
      </c>
      <c r="E22" s="4">
        <v>-0.0004430492211099368</v>
      </c>
      <c r="F22" s="4">
        <v>0.01369167338382571</v>
      </c>
      <c r="G22" s="4">
        <v>0.1075715474016827</v>
      </c>
      <c r="H22" s="15"/>
      <c r="I22" s="6">
        <v>948.02001953125</v>
      </c>
      <c r="J22" s="7">
        <v>17.305952</v>
      </c>
      <c r="K22" s="7">
        <v>14.498293</v>
      </c>
      <c r="L22" s="4">
        <v>0.5599748115439178</v>
      </c>
      <c r="M22" s="4">
        <v>0.1532</v>
      </c>
      <c r="N22" s="4">
        <v>0.104899995</v>
      </c>
      <c r="O22" s="3" t="s">
        <v>91</v>
      </c>
      <c r="P22" s="5">
        <v>730</v>
      </c>
      <c r="Q22" s="5">
        <v>947.6</v>
      </c>
      <c r="R22" s="5">
        <v>961</v>
      </c>
      <c r="S22" s="5">
        <v>1050</v>
      </c>
      <c r="T22" s="7">
        <v>51.32</v>
      </c>
      <c r="U22" s="7">
        <v>59.36404</v>
      </c>
      <c r="V22" s="7">
        <v>65.39888999999999</v>
      </c>
    </row>
    <row r="23" spans="1:22" ht="18" customHeight="1">
      <c r="A23" s="3" t="s">
        <v>92</v>
      </c>
      <c r="B23" s="4">
        <v>0.01303474</v>
      </c>
      <c r="C23" s="4">
        <v>0.136065506071086</v>
      </c>
      <c r="D23" s="4">
        <v>-0.06925207756232687</v>
      </c>
      <c r="E23" s="4">
        <v>0.06410764542936276</v>
      </c>
      <c r="F23" s="4">
        <v>0.09418282548476453</v>
      </c>
      <c r="G23" s="4">
        <v>0.1634349030470914</v>
      </c>
      <c r="H23" s="15"/>
      <c r="I23" s="6">
        <v>180.5</v>
      </c>
      <c r="J23" s="7">
        <v>25.422535</v>
      </c>
      <c r="K23" s="7">
        <v>19.732986</v>
      </c>
      <c r="L23" s="4">
        <v>0.3713218895112804</v>
      </c>
      <c r="M23" s="4">
        <v>0.115600005</v>
      </c>
      <c r="N23" s="4">
        <v>0.08749999999999999</v>
      </c>
      <c r="O23" s="3" t="s">
        <v>92</v>
      </c>
      <c r="P23" s="5">
        <v>168</v>
      </c>
      <c r="Q23" s="5">
        <v>192.07143</v>
      </c>
      <c r="R23" s="5">
        <v>197.5</v>
      </c>
      <c r="S23" s="5">
        <v>210</v>
      </c>
      <c r="T23" s="7">
        <v>7.26</v>
      </c>
      <c r="U23" s="7">
        <v>8.411300000000001</v>
      </c>
      <c r="V23" s="7">
        <v>9.147119999999999</v>
      </c>
    </row>
    <row r="24" spans="1:22" ht="18" customHeight="1">
      <c r="A24" s="3" t="s">
        <v>93</v>
      </c>
      <c r="B24" s="4">
        <v>0.01277876</v>
      </c>
      <c r="C24" s="4">
        <v>-0.1923329175784504</v>
      </c>
      <c r="D24" s="4">
        <v>-0.483680607961042</v>
      </c>
      <c r="E24" s="4">
        <v>0.3387916215059399</v>
      </c>
      <c r="F24" s="4">
        <v>0.4014383498200289</v>
      </c>
      <c r="G24" s="4">
        <v>0.8808777852847758</v>
      </c>
      <c r="H24" s="15"/>
      <c r="I24" s="6">
        <v>135.5749969482422</v>
      </c>
      <c r="J24" s="7">
        <v>150.63889</v>
      </c>
      <c r="K24" s="7">
        <v>65.85146</v>
      </c>
      <c r="L24" s="4">
        <v>1.364011094939334</v>
      </c>
      <c r="M24" s="4">
        <v>0.9482</v>
      </c>
      <c r="N24" s="4">
        <v>0.409</v>
      </c>
      <c r="O24" s="3" t="s">
        <v>93</v>
      </c>
      <c r="P24" s="5">
        <v>70</v>
      </c>
      <c r="Q24" s="5">
        <v>181.50667</v>
      </c>
      <c r="R24" s="5">
        <v>190</v>
      </c>
      <c r="S24" s="5">
        <v>255</v>
      </c>
      <c r="T24" s="7">
        <v>0.63</v>
      </c>
      <c r="U24" s="7">
        <v>1.46118</v>
      </c>
      <c r="V24" s="7">
        <v>2.0588</v>
      </c>
    </row>
    <row r="25" spans="1:22" ht="18" customHeight="1">
      <c r="A25" s="3" t="s">
        <v>94</v>
      </c>
      <c r="B25" s="4">
        <v>0.01255656</v>
      </c>
      <c r="C25" s="4">
        <v>0.1419854880533391</v>
      </c>
      <c r="D25" s="4">
        <v>-0.08948270863516705</v>
      </c>
      <c r="E25" s="4">
        <v>0.09444650390948706</v>
      </c>
      <c r="F25" s="4">
        <v>0.1097647008789644</v>
      </c>
      <c r="G25" s="4">
        <v>0.1735442813892496</v>
      </c>
      <c r="H25" s="15"/>
      <c r="I25" s="6">
        <v>78.39499664306641</v>
      </c>
      <c r="J25" s="7">
        <v>24.652514</v>
      </c>
      <c r="K25" s="7">
        <v>22.513323</v>
      </c>
      <c r="L25" s="4">
        <v>0.1638515568984764</v>
      </c>
      <c r="M25" s="4">
        <v>0.088199995</v>
      </c>
      <c r="N25" s="4">
        <v>0.066599995</v>
      </c>
      <c r="O25" s="3" t="s">
        <v>94</v>
      </c>
      <c r="P25" s="5">
        <v>71.38</v>
      </c>
      <c r="Q25" s="5">
        <v>85.79913000000001</v>
      </c>
      <c r="R25" s="5">
        <v>87</v>
      </c>
      <c r="S25" s="5">
        <v>92</v>
      </c>
      <c r="T25" s="7">
        <v>3.04</v>
      </c>
      <c r="U25" s="7">
        <v>3.26469</v>
      </c>
      <c r="V25" s="7">
        <v>3.48216</v>
      </c>
    </row>
    <row r="26" spans="1:22" ht="18" customHeight="1">
      <c r="A26" s="3" t="s">
        <v>95</v>
      </c>
      <c r="B26" s="4">
        <v>0.01214491</v>
      </c>
      <c r="C26" s="4">
        <v>0.1929845006673558</v>
      </c>
      <c r="D26" s="4">
        <v>-0.4025392189553889</v>
      </c>
      <c r="E26" s="4">
        <v>0.1949879466204494</v>
      </c>
      <c r="F26" s="4">
        <v>0.223964794501113</v>
      </c>
      <c r="G26" s="4">
        <v>0.460459686997938</v>
      </c>
      <c r="H26" s="15"/>
      <c r="I26" s="6">
        <v>120.5100021362305</v>
      </c>
      <c r="J26" s="7">
        <v>15.63035</v>
      </c>
      <c r="K26" s="7">
        <v>10.629347</v>
      </c>
      <c r="L26" s="4">
        <v>1.646414194601347</v>
      </c>
      <c r="M26" s="4">
        <v>0.4948</v>
      </c>
      <c r="N26" s="4">
        <v>0.1008</v>
      </c>
      <c r="O26" s="3" t="s">
        <v>95</v>
      </c>
      <c r="P26" s="5">
        <v>72</v>
      </c>
      <c r="Q26" s="5">
        <v>144.008</v>
      </c>
      <c r="R26" s="5">
        <v>147.5</v>
      </c>
      <c r="S26" s="5">
        <v>176</v>
      </c>
      <c r="T26" s="7">
        <v>6.39</v>
      </c>
      <c r="U26" s="7">
        <v>10.29926</v>
      </c>
      <c r="V26" s="7">
        <v>11.33748</v>
      </c>
    </row>
    <row r="27" spans="1:22" ht="18" customHeight="1">
      <c r="A27" s="3" t="s">
        <v>96</v>
      </c>
      <c r="B27" s="4">
        <v>0.0116837</v>
      </c>
      <c r="C27" s="4">
        <v>-0.1221679444480801</v>
      </c>
      <c r="D27" s="4">
        <v>0.1032115467021246</v>
      </c>
      <c r="E27" s="4">
        <v>0.4850225212165058</v>
      </c>
      <c r="F27" s="4">
        <v>0.4709487289361662</v>
      </c>
      <c r="G27" s="4">
        <v>0.7569665373404206</v>
      </c>
      <c r="H27" s="15"/>
      <c r="I27" s="6">
        <v>122.370002746582</v>
      </c>
      <c r="J27" s="7">
        <v>35.163795</v>
      </c>
      <c r="K27" s="7">
        <v>21.744577</v>
      </c>
      <c r="L27" s="4">
        <v>0.9733385812427275</v>
      </c>
      <c r="M27" s="4">
        <v>0.4411</v>
      </c>
      <c r="N27" s="4">
        <v>0.1692</v>
      </c>
      <c r="O27" s="3" t="s">
        <v>96</v>
      </c>
      <c r="P27" s="5">
        <v>135</v>
      </c>
      <c r="Q27" s="5">
        <v>181.72221</v>
      </c>
      <c r="R27" s="5">
        <v>180</v>
      </c>
      <c r="S27" s="5">
        <v>215</v>
      </c>
      <c r="T27" s="7">
        <v>3.34</v>
      </c>
      <c r="U27" s="7">
        <v>4.8133</v>
      </c>
      <c r="V27" s="7">
        <v>5.62761</v>
      </c>
    </row>
    <row r="28" spans="1:22" ht="18" customHeight="1">
      <c r="A28" s="3" t="s">
        <v>97</v>
      </c>
      <c r="B28" s="4">
        <v>0.01025418</v>
      </c>
      <c r="C28" s="4">
        <v>1.278978243250511</v>
      </c>
      <c r="D28" s="4">
        <v>-0.2775757575757576</v>
      </c>
      <c r="E28" s="4">
        <v>-0.05131311515151515</v>
      </c>
      <c r="F28" s="4">
        <v>-0.07878787878787874</v>
      </c>
      <c r="G28" s="4">
        <v>0.1151515151515152</v>
      </c>
      <c r="H28" s="15"/>
      <c r="I28" s="6">
        <v>206.25</v>
      </c>
      <c r="J28" s="7">
        <v>99.15866</v>
      </c>
      <c r="K28" s="7">
        <v>49.026833</v>
      </c>
      <c r="L28" s="4">
        <v>0.910171314190295</v>
      </c>
      <c r="M28" s="4">
        <v>0.2682</v>
      </c>
      <c r="N28" s="4">
        <v>0.3164</v>
      </c>
      <c r="O28" s="3" t="s">
        <v>97</v>
      </c>
      <c r="P28" s="5">
        <v>149</v>
      </c>
      <c r="Q28" s="5">
        <v>195.66667</v>
      </c>
      <c r="R28" s="5">
        <v>190</v>
      </c>
      <c r="S28" s="5">
        <v>230</v>
      </c>
      <c r="T28" s="7">
        <v>1.83</v>
      </c>
      <c r="U28" s="7">
        <v>3.19577</v>
      </c>
      <c r="V28" s="7">
        <v>4.20688</v>
      </c>
    </row>
    <row r="29" spans="1:22" ht="18" customHeight="1">
      <c r="A29" s="3" t="s">
        <v>98</v>
      </c>
      <c r="B29" s="4">
        <v>0.01018537</v>
      </c>
      <c r="C29" s="4">
        <v>0.07939654265279161</v>
      </c>
      <c r="D29" s="4">
        <v>-0.01446760829201832</v>
      </c>
      <c r="E29" s="4">
        <v>0.1534313167185548</v>
      </c>
      <c r="F29" s="4">
        <v>0.1589860926485864</v>
      </c>
      <c r="G29" s="4">
        <v>0.340324052722855</v>
      </c>
      <c r="H29" s="15"/>
      <c r="I29" s="6">
        <v>126.8349990844727</v>
      </c>
      <c r="J29" s="7">
        <v>15.681075</v>
      </c>
      <c r="K29" s="7">
        <v>10.161245</v>
      </c>
      <c r="L29" s="4">
        <v>0.7147179405422568</v>
      </c>
      <c r="M29" s="4">
        <v>0.4332</v>
      </c>
      <c r="N29" s="4">
        <v>0.15689999</v>
      </c>
      <c r="O29" s="3" t="s">
        <v>98</v>
      </c>
      <c r="P29" s="5">
        <v>125</v>
      </c>
      <c r="Q29" s="5">
        <v>146.29546</v>
      </c>
      <c r="R29" s="5">
        <v>147</v>
      </c>
      <c r="S29" s="5">
        <v>170</v>
      </c>
      <c r="T29" s="7">
        <v>6.99</v>
      </c>
      <c r="U29" s="7">
        <v>10.79111</v>
      </c>
      <c r="V29" s="7">
        <v>12.48468</v>
      </c>
    </row>
    <row r="30" spans="1:22" ht="18" customHeight="1">
      <c r="A30" s="3" t="s">
        <v>99</v>
      </c>
      <c r="B30" s="4">
        <v>0.00939535</v>
      </c>
      <c r="C30" s="4">
        <v>0.06635278873363659</v>
      </c>
      <c r="D30" s="4">
        <v>-0.1400651465798045</v>
      </c>
      <c r="E30" s="4">
        <v>0.05946944625407169</v>
      </c>
      <c r="F30" s="4">
        <v>0.0684039087947883</v>
      </c>
      <c r="G30" s="4">
        <v>0.1986970684039089</v>
      </c>
      <c r="H30" s="15"/>
      <c r="I30" s="6">
        <v>191.875</v>
      </c>
      <c r="J30" s="7">
        <v>17.379982</v>
      </c>
      <c r="K30" s="7">
        <v>15.104818</v>
      </c>
      <c r="L30" s="4">
        <v>0.46258249842609</v>
      </c>
      <c r="M30" s="4">
        <v>0.16059999</v>
      </c>
      <c r="N30" s="4">
        <v>0.07199999999999999</v>
      </c>
      <c r="O30" s="3" t="s">
        <v>99</v>
      </c>
      <c r="P30" s="5">
        <v>165</v>
      </c>
      <c r="Q30" s="5">
        <v>203.2857</v>
      </c>
      <c r="R30" s="5">
        <v>205</v>
      </c>
      <c r="S30" s="5">
        <v>230</v>
      </c>
      <c r="T30" s="7">
        <v>10.21</v>
      </c>
      <c r="U30" s="7">
        <v>11.86895</v>
      </c>
      <c r="V30" s="7">
        <v>12.74124</v>
      </c>
    </row>
    <row r="31" spans="1:22" ht="18" customHeight="1">
      <c r="A31" s="3" t="s">
        <v>100</v>
      </c>
      <c r="B31" s="4">
        <v>0.00857168</v>
      </c>
      <c r="C31" s="4">
        <v>0.534159577021206</v>
      </c>
      <c r="D31" s="4">
        <v>-0.2953541041423212</v>
      </c>
      <c r="E31" s="4">
        <v>-0.05795508001962058</v>
      </c>
      <c r="F31" s="4">
        <v>-0.04454793782009647</v>
      </c>
      <c r="G31" s="4">
        <v>0.1345993238386354</v>
      </c>
      <c r="H31" s="15"/>
      <c r="I31" s="6">
        <v>418.6499938964844</v>
      </c>
      <c r="J31" s="7">
        <v>76.67582</v>
      </c>
      <c r="K31" s="7">
        <v>31.835655</v>
      </c>
      <c r="L31" s="4">
        <v>0.3043409700860968</v>
      </c>
      <c r="M31" s="4">
        <v>0.4721</v>
      </c>
      <c r="N31" s="4">
        <v>0.1467</v>
      </c>
      <c r="O31" s="3" t="s">
        <v>100</v>
      </c>
      <c r="P31" s="5">
        <v>295</v>
      </c>
      <c r="Q31" s="5">
        <v>394.3871</v>
      </c>
      <c r="R31" s="5">
        <v>400</v>
      </c>
      <c r="S31" s="5">
        <v>475</v>
      </c>
      <c r="T31" s="7">
        <v>4.56</v>
      </c>
      <c r="U31" s="7">
        <v>11.46783</v>
      </c>
      <c r="V31" s="7">
        <v>13.15035</v>
      </c>
    </row>
    <row r="32" spans="1:22" ht="18" customHeight="1">
      <c r="A32" s="3" t="s">
        <v>101</v>
      </c>
      <c r="B32" s="4">
        <v>0.008433079999999999</v>
      </c>
      <c r="C32" s="4">
        <v>0.1083973342084612</v>
      </c>
      <c r="D32" s="4">
        <v>-0.08968813527288377</v>
      </c>
      <c r="E32" s="4">
        <v>0.1786621024042099</v>
      </c>
      <c r="F32" s="4">
        <v>0.1975824122024767</v>
      </c>
      <c r="G32" s="4">
        <v>0.3430830791055812</v>
      </c>
      <c r="H32" s="15"/>
      <c r="I32" s="6">
        <v>134.0200042724609</v>
      </c>
      <c r="J32" s="7">
        <v>18.234015</v>
      </c>
      <c r="K32" s="7">
        <v>13.857755</v>
      </c>
      <c r="L32" s="4">
        <v>0.3732192472678635</v>
      </c>
      <c r="M32" s="4">
        <v>-1.1011</v>
      </c>
      <c r="N32" s="4">
        <v>0.127563</v>
      </c>
      <c r="O32" s="3" t="s">
        <v>101</v>
      </c>
      <c r="P32" s="5">
        <v>122</v>
      </c>
      <c r="Q32" s="5">
        <v>157.9643</v>
      </c>
      <c r="R32" s="5">
        <v>160.5</v>
      </c>
      <c r="S32" s="5">
        <v>180</v>
      </c>
      <c r="T32" s="7">
        <v>6.78</v>
      </c>
      <c r="U32" s="7">
        <v>-0.82383</v>
      </c>
      <c r="V32" s="7">
        <v>9.68516</v>
      </c>
    </row>
    <row r="33" spans="1:22" ht="18" customHeight="1">
      <c r="A33" s="3" t="s">
        <v>102</v>
      </c>
      <c r="B33" s="4">
        <v>0.008314719999999999</v>
      </c>
      <c r="C33" s="4">
        <v>0.1478477406386065</v>
      </c>
      <c r="D33" s="4">
        <v>-0.1020484827274967</v>
      </c>
      <c r="E33" s="4">
        <v>0.08946773931577945</v>
      </c>
      <c r="F33" s="4">
        <v>0.1013936579045549</v>
      </c>
      <c r="G33" s="4">
        <v>0.2159760129731816</v>
      </c>
      <c r="H33" s="15"/>
      <c r="I33" s="6">
        <v>213.8200073242188</v>
      </c>
      <c r="J33" s="7">
        <v>103.79612</v>
      </c>
      <c r="K33" s="7">
        <v>64.21021</v>
      </c>
      <c r="L33" s="4">
        <v>0.5143214342335418</v>
      </c>
      <c r="M33" s="4">
        <v>0.2188</v>
      </c>
      <c r="N33" s="4">
        <v>0.121199995</v>
      </c>
      <c r="O33" s="3" t="s">
        <v>102</v>
      </c>
      <c r="P33" s="5">
        <v>192</v>
      </c>
      <c r="Q33" s="5">
        <v>232.95</v>
      </c>
      <c r="R33" s="5">
        <v>235.5</v>
      </c>
      <c r="S33" s="5">
        <v>260</v>
      </c>
      <c r="T33" s="7">
        <v>1.39</v>
      </c>
      <c r="U33" s="7">
        <v>2.97</v>
      </c>
      <c r="V33" s="7">
        <v>3.33</v>
      </c>
    </row>
    <row r="34" spans="1:22" ht="18" customHeight="1">
      <c r="A34" s="3" t="s">
        <v>103</v>
      </c>
      <c r="B34" s="4">
        <v>0.006224309999999999</v>
      </c>
      <c r="C34" s="4">
        <v>1.383849521028058</v>
      </c>
      <c r="D34" s="4">
        <v>-0.5908416778845919</v>
      </c>
      <c r="E34" s="4">
        <v>-0.2994768827774767</v>
      </c>
      <c r="F34" s="4">
        <v>-0.3095453314302488</v>
      </c>
      <c r="G34" s="4">
        <v>0.1251853858173724</v>
      </c>
      <c r="H34" s="15"/>
      <c r="I34" s="6">
        <v>586.5700073242188</v>
      </c>
      <c r="J34" s="7">
        <v>368.91196</v>
      </c>
      <c r="K34" s="7">
        <v>67.79651</v>
      </c>
      <c r="L34" s="4">
        <v>1.809586750590009</v>
      </c>
      <c r="M34" s="4">
        <v>1.3639</v>
      </c>
      <c r="N34" s="4">
        <v>0.38639998</v>
      </c>
      <c r="O34" s="3" t="s">
        <v>103</v>
      </c>
      <c r="P34" s="5">
        <v>240</v>
      </c>
      <c r="Q34" s="5">
        <v>410.90585</v>
      </c>
      <c r="R34" s="5">
        <v>405</v>
      </c>
      <c r="S34" s="5">
        <v>660</v>
      </c>
      <c r="T34" s="7">
        <v>0.85</v>
      </c>
      <c r="U34" s="7">
        <v>6.24071</v>
      </c>
      <c r="V34" s="7">
        <v>8.65192</v>
      </c>
    </row>
    <row r="35" spans="1:22" ht="18" customHeight="1">
      <c r="A35" s="3" t="s">
        <v>104</v>
      </c>
      <c r="B35" s="4">
        <v>0.00602743</v>
      </c>
      <c r="C35" s="4">
        <v>0.2916339720271446</v>
      </c>
      <c r="D35" s="4">
        <v>-0.1214422596336349</v>
      </c>
      <c r="E35" s="4">
        <v>0.08365217618074872</v>
      </c>
      <c r="F35" s="4">
        <v>0.09819717545795648</v>
      </c>
      <c r="G35" s="4">
        <v>0.2446234655190171</v>
      </c>
      <c r="H35" s="15"/>
      <c r="I35" s="6">
        <v>273.1749877929688</v>
      </c>
      <c r="J35" s="7">
        <v>63.529064</v>
      </c>
      <c r="K35" s="7">
        <v>46.426987</v>
      </c>
      <c r="L35" s="4">
        <v>0.8554480876360224</v>
      </c>
      <c r="M35" s="4">
        <v>0.32599998</v>
      </c>
      <c r="N35" s="4">
        <v>0.177</v>
      </c>
      <c r="O35" s="3" t="s">
        <v>104</v>
      </c>
      <c r="P35" s="5">
        <v>240</v>
      </c>
      <c r="Q35" s="5">
        <v>296.02667</v>
      </c>
      <c r="R35" s="5">
        <v>300</v>
      </c>
      <c r="S35" s="5">
        <v>340</v>
      </c>
      <c r="T35" s="7">
        <v>3.71</v>
      </c>
      <c r="U35" s="7">
        <v>4.99896</v>
      </c>
      <c r="V35" s="7">
        <v>5.88397</v>
      </c>
    </row>
    <row r="36" spans="1:22" ht="18" customHeight="1">
      <c r="A36" s="3" t="s">
        <v>105</v>
      </c>
      <c r="B36" s="4">
        <v>0.005863070000000001</v>
      </c>
      <c r="C36" s="4">
        <v>-0.1279042915686168</v>
      </c>
      <c r="D36" s="4">
        <v>0.04587056022386604</v>
      </c>
      <c r="E36" s="4">
        <v>0.3096118319324932</v>
      </c>
      <c r="F36" s="4">
        <v>0.33575859593809</v>
      </c>
      <c r="G36" s="4">
        <v>0.489228732492679</v>
      </c>
      <c r="H36" s="15"/>
      <c r="I36" s="6">
        <v>87.96499633789062</v>
      </c>
      <c r="J36" s="7">
        <v>17.48807</v>
      </c>
      <c r="K36" s="7">
        <v>12.588331</v>
      </c>
      <c r="L36" s="4">
        <v>0.3696323487981312</v>
      </c>
      <c r="M36" s="4">
        <v>0.2368</v>
      </c>
      <c r="N36" s="4">
        <v>0.1601</v>
      </c>
      <c r="O36" s="3" t="s">
        <v>105</v>
      </c>
      <c r="P36" s="5">
        <v>92</v>
      </c>
      <c r="Q36" s="5">
        <v>115.2</v>
      </c>
      <c r="R36" s="5">
        <v>117.5</v>
      </c>
      <c r="S36" s="5">
        <v>131</v>
      </c>
      <c r="T36" s="7">
        <v>4.65</v>
      </c>
      <c r="U36" s="7">
        <v>6.02333</v>
      </c>
      <c r="V36" s="7">
        <v>6.98782</v>
      </c>
    </row>
    <row r="37" spans="1:22" ht="18" customHeight="1">
      <c r="A37" s="3" t="s">
        <v>106</v>
      </c>
      <c r="B37" s="4">
        <v>0.00556527</v>
      </c>
      <c r="C37" s="4">
        <v>0.3423902447150386</v>
      </c>
      <c r="D37" s="4">
        <v>-0.2554623110391558</v>
      </c>
      <c r="E37" s="4">
        <v>0.01782239539879393</v>
      </c>
      <c r="F37" s="4">
        <v>0.04235276454518178</v>
      </c>
      <c r="G37" s="4">
        <v>0.2098737445613716</v>
      </c>
      <c r="H37" s="15"/>
      <c r="I37" s="6">
        <v>698.4199829101562</v>
      </c>
      <c r="J37" s="7">
        <v>36.319294</v>
      </c>
      <c r="K37" s="7">
        <v>21.065325</v>
      </c>
      <c r="L37" s="4">
        <v>0.4976685150664966</v>
      </c>
      <c r="M37" s="4">
        <v>0.2189</v>
      </c>
      <c r="N37" s="4">
        <v>0.1438</v>
      </c>
      <c r="O37" s="3" t="s">
        <v>106</v>
      </c>
      <c r="P37" s="5">
        <v>520</v>
      </c>
      <c r="Q37" s="5">
        <v>710.8674999999999</v>
      </c>
      <c r="R37" s="5">
        <v>728</v>
      </c>
      <c r="S37" s="5">
        <v>845</v>
      </c>
      <c r="T37" s="7">
        <v>20.5</v>
      </c>
      <c r="U37" s="7">
        <v>28.29975</v>
      </c>
      <c r="V37" s="7">
        <v>32.00853</v>
      </c>
    </row>
    <row r="38" spans="1:22" ht="18" customHeight="1">
      <c r="A38" s="3" t="s">
        <v>107</v>
      </c>
      <c r="B38" s="4">
        <v>0.00527992</v>
      </c>
      <c r="C38" s="4">
        <v>0.769247665538046</v>
      </c>
      <c r="D38" s="4">
        <v>-0.4599807135969142</v>
      </c>
      <c r="E38" s="4">
        <v>-0.03845605914496952</v>
      </c>
      <c r="F38" s="4">
        <v>0.02217936354869821</v>
      </c>
      <c r="G38" s="4">
        <v>0.1584699453551912</v>
      </c>
      <c r="H38" s="15"/>
      <c r="I38" s="6">
        <v>777.75</v>
      </c>
      <c r="J38" s="7">
        <v>106.54109</v>
      </c>
      <c r="K38" s="7">
        <v>47.409126</v>
      </c>
      <c r="L38" s="4">
        <v>0.3389325339364324</v>
      </c>
      <c r="M38" s="4">
        <v>0.304</v>
      </c>
      <c r="N38" s="4">
        <v>0.1703</v>
      </c>
      <c r="O38" s="3" t="s">
        <v>107</v>
      </c>
      <c r="P38" s="5">
        <v>420</v>
      </c>
      <c r="Q38" s="5">
        <v>747.8407999999999</v>
      </c>
      <c r="R38" s="5">
        <v>795</v>
      </c>
      <c r="S38" s="5">
        <v>901</v>
      </c>
      <c r="T38" s="7">
        <v>6.8</v>
      </c>
      <c r="U38" s="7">
        <v>14.01758</v>
      </c>
      <c r="V38" s="7">
        <v>16.40507</v>
      </c>
    </row>
    <row r="39" spans="1:22" ht="18" customHeight="1">
      <c r="A39" s="3" t="s">
        <v>108</v>
      </c>
      <c r="B39" s="4">
        <v>0.005273750000000001</v>
      </c>
      <c r="C39" s="4">
        <v>1.023822915589196</v>
      </c>
      <c r="D39" s="4">
        <v>-0.05917587214039244</v>
      </c>
      <c r="E39" s="4">
        <v>-0.01917853225442379</v>
      </c>
      <c r="F39" s="4">
        <v>-0.01484384517318582</v>
      </c>
      <c r="G39" s="4">
        <v>0.009785058697484583</v>
      </c>
      <c r="H39" s="15"/>
      <c r="I39" s="6">
        <v>2030.135009765625</v>
      </c>
      <c r="J39" s="7">
        <v>58.74233</v>
      </c>
      <c r="K39" s="7">
        <v>38.75299</v>
      </c>
      <c r="L39" s="4">
        <v>1.18575293933743</v>
      </c>
      <c r="M39" s="4">
        <v>0.4903</v>
      </c>
      <c r="N39" s="4">
        <v>0.2172</v>
      </c>
      <c r="O39" s="3" t="s">
        <v>108</v>
      </c>
      <c r="P39" s="5">
        <v>1910</v>
      </c>
      <c r="Q39" s="5">
        <v>1991.2</v>
      </c>
      <c r="R39" s="5">
        <v>2000</v>
      </c>
      <c r="S39" s="5">
        <v>2050</v>
      </c>
      <c r="T39" s="7">
        <v>28.88</v>
      </c>
      <c r="U39" s="7">
        <v>43.03869</v>
      </c>
      <c r="V39" s="7">
        <v>52.38654</v>
      </c>
    </row>
    <row r="40" spans="1:22" ht="18" customHeight="1">
      <c r="A40" s="3" t="s">
        <v>109</v>
      </c>
      <c r="B40" s="4">
        <v>0.00494162</v>
      </c>
      <c r="C40" s="4">
        <v>0.03940811968449509</v>
      </c>
      <c r="D40" s="4">
        <v>-0.00573988157790517</v>
      </c>
      <c r="E40" s="4">
        <v>0.2405875763325396</v>
      </c>
      <c r="F40" s="4">
        <v>0.2549858637617439</v>
      </c>
      <c r="G40" s="4">
        <v>0.4709601751998116</v>
      </c>
      <c r="H40" s="15"/>
      <c r="I40" s="6">
        <v>513.9500122070312</v>
      </c>
      <c r="J40" s="7">
        <v>24.864538</v>
      </c>
      <c r="K40" s="7">
        <v>16.019203</v>
      </c>
      <c r="L40" s="4">
        <v>0.03250896661549252</v>
      </c>
      <c r="M40" s="4">
        <v>0.38919997</v>
      </c>
      <c r="N40" s="4">
        <v>0.0747</v>
      </c>
      <c r="O40" s="3" t="s">
        <v>109</v>
      </c>
      <c r="P40" s="5">
        <v>511</v>
      </c>
      <c r="Q40" s="5">
        <v>637.6</v>
      </c>
      <c r="R40" s="5">
        <v>645</v>
      </c>
      <c r="S40" s="5">
        <v>756</v>
      </c>
      <c r="T40" s="7">
        <v>21.49</v>
      </c>
      <c r="U40" s="7">
        <v>29.88246</v>
      </c>
      <c r="V40" s="7">
        <v>32.11371</v>
      </c>
    </row>
    <row r="41" spans="1:22" ht="18" customHeight="1">
      <c r="A41" s="3" t="s">
        <v>110</v>
      </c>
      <c r="B41" s="4">
        <v>0.00490631</v>
      </c>
      <c r="C41" s="4">
        <v>0.1387334825558422</v>
      </c>
      <c r="D41" s="4">
        <v>-0.09204398974088401</v>
      </c>
      <c r="E41" s="4">
        <v>0.07927860814991283</v>
      </c>
      <c r="F41" s="4">
        <v>0.09333036235368541</v>
      </c>
      <c r="G41" s="4">
        <v>0.1803428133368508</v>
      </c>
      <c r="H41" s="15"/>
      <c r="I41" s="6">
        <v>132.1649932861328</v>
      </c>
      <c r="J41" s="7">
        <v>16.39764</v>
      </c>
      <c r="K41" s="7">
        <v>13.706507</v>
      </c>
      <c r="L41" s="4">
        <v>0.5328895999206793</v>
      </c>
      <c r="M41" s="4">
        <v>0.1748</v>
      </c>
      <c r="N41" s="4">
        <v>0.094399996</v>
      </c>
      <c r="O41" s="3" t="s">
        <v>110</v>
      </c>
      <c r="P41" s="5">
        <v>120</v>
      </c>
      <c r="Q41" s="5">
        <v>142.64285</v>
      </c>
      <c r="R41" s="5">
        <v>144.5</v>
      </c>
      <c r="S41" s="5">
        <v>156</v>
      </c>
      <c r="T41" s="7">
        <v>7.4</v>
      </c>
      <c r="U41" s="7">
        <v>8.811</v>
      </c>
      <c r="V41" s="7">
        <v>9.6425</v>
      </c>
    </row>
    <row r="42" spans="1:22" ht="18" customHeight="1">
      <c r="A42" s="3" t="s">
        <v>111</v>
      </c>
      <c r="B42" s="4">
        <v>0.00484975</v>
      </c>
      <c r="C42" s="4">
        <v>0.2186526898388828</v>
      </c>
      <c r="D42" s="4">
        <v>-0.2720920334418264</v>
      </c>
      <c r="E42" s="4">
        <v>0.004512993850279479</v>
      </c>
      <c r="F42" s="4">
        <v>0.01907115318144292</v>
      </c>
      <c r="G42" s="4">
        <v>0.1937690651554047</v>
      </c>
      <c r="H42" s="15"/>
      <c r="I42" s="6">
        <v>68.69000244140625</v>
      </c>
      <c r="J42" s="7">
        <v>14.340293</v>
      </c>
      <c r="K42" s="7">
        <v>11.726086</v>
      </c>
      <c r="L42" s="4">
        <v>0.1767777738550418</v>
      </c>
      <c r="M42" s="4">
        <v>0.0452</v>
      </c>
      <c r="N42" s="4">
        <v>0.034</v>
      </c>
      <c r="O42" s="3" t="s">
        <v>111</v>
      </c>
      <c r="P42" s="5">
        <v>50</v>
      </c>
      <c r="Q42" s="5">
        <v>69</v>
      </c>
      <c r="R42" s="5">
        <v>70</v>
      </c>
      <c r="S42" s="5">
        <v>82</v>
      </c>
      <c r="T42" s="7">
        <v>4.12</v>
      </c>
      <c r="U42" s="7">
        <v>5.66508</v>
      </c>
      <c r="V42" s="7">
        <v>5.85788</v>
      </c>
    </row>
    <row r="43" spans="1:22" ht="18" customHeight="1">
      <c r="A43" s="3" t="s">
        <v>112</v>
      </c>
      <c r="B43" s="4">
        <v>0.00473653</v>
      </c>
      <c r="C43" s="4">
        <v>-0.1131394520653022</v>
      </c>
      <c r="D43" s="4">
        <v>0.1649101921527993</v>
      </c>
      <c r="E43" s="4">
        <v>0.3146582461486755</v>
      </c>
      <c r="F43" s="4">
        <v>0.3238861713171814</v>
      </c>
      <c r="G43" s="4">
        <v>0.4595639466385075</v>
      </c>
      <c r="H43" s="15"/>
      <c r="I43" s="6">
        <v>729.6699829101562</v>
      </c>
      <c r="J43" s="7">
        <v>19.026598</v>
      </c>
      <c r="K43" s="7">
        <v>14.537787</v>
      </c>
      <c r="L43" s="4">
        <v>0.4548686882869835</v>
      </c>
      <c r="M43" s="4">
        <v>0.1313</v>
      </c>
      <c r="N43" s="4">
        <v>0.1344</v>
      </c>
      <c r="O43" s="3" t="s">
        <v>112</v>
      </c>
      <c r="P43" s="5">
        <v>850</v>
      </c>
      <c r="Q43" s="5">
        <v>959.26666</v>
      </c>
      <c r="R43" s="5">
        <v>966</v>
      </c>
      <c r="S43" s="5">
        <v>1065</v>
      </c>
      <c r="T43" s="7">
        <v>25.72</v>
      </c>
      <c r="U43" s="7">
        <v>44.24376</v>
      </c>
      <c r="V43" s="7">
        <v>50.19127</v>
      </c>
    </row>
    <row r="44" spans="1:22" ht="18" customHeight="1">
      <c r="A44" s="3" t="s">
        <v>113</v>
      </c>
      <c r="B44" s="4">
        <v>0.00473307</v>
      </c>
      <c r="C44" s="4">
        <v>0.007573865493470278</v>
      </c>
      <c r="D44" s="4">
        <v>-0.08746355685131191</v>
      </c>
      <c r="E44" s="4">
        <v>0.143766472303207</v>
      </c>
      <c r="F44" s="4">
        <v>0.1370262390670554</v>
      </c>
      <c r="G44" s="4">
        <v>0.2944606413994169</v>
      </c>
      <c r="H44" s="15"/>
      <c r="I44" s="6">
        <v>343</v>
      </c>
      <c r="J44" s="7">
        <v>21.55877</v>
      </c>
      <c r="K44" s="7">
        <v>18.956497</v>
      </c>
      <c r="L44" s="4">
        <v>0.316328861794098</v>
      </c>
      <c r="M44" s="4">
        <v>0.0764</v>
      </c>
      <c r="N44" s="4">
        <v>0.08799999999999999</v>
      </c>
      <c r="O44" s="3" t="s">
        <v>113</v>
      </c>
      <c r="P44" s="5">
        <v>313</v>
      </c>
      <c r="Q44" s="5">
        <v>392.3119</v>
      </c>
      <c r="R44" s="5">
        <v>390</v>
      </c>
      <c r="S44" s="5">
        <v>444</v>
      </c>
      <c r="T44" s="7">
        <v>15.45</v>
      </c>
      <c r="U44" s="7">
        <v>16.64876</v>
      </c>
      <c r="V44" s="7">
        <v>18.16332</v>
      </c>
    </row>
    <row r="45" spans="1:22" ht="18" customHeight="1">
      <c r="A45" s="3" t="s">
        <v>114</v>
      </c>
      <c r="B45" s="4">
        <v>0.00456233</v>
      </c>
      <c r="C45" s="4">
        <v>0.1278886212634902</v>
      </c>
      <c r="D45" s="4">
        <v>-0.2539923147568531</v>
      </c>
      <c r="E45" s="4">
        <v>0.02507132604638285</v>
      </c>
      <c r="F45" s="4">
        <v>0.04907330737317528</v>
      </c>
      <c r="G45" s="4">
        <v>0.1889497483562652</v>
      </c>
      <c r="H45" s="15"/>
      <c r="I45" s="6">
        <v>85.79000091552734</v>
      </c>
      <c r="J45" s="7">
        <v>41.497585</v>
      </c>
      <c r="K45" s="7">
        <v>33.475445</v>
      </c>
      <c r="L45" s="4">
        <v>0.4656852639291322</v>
      </c>
      <c r="M45" s="4">
        <v>0.14729999</v>
      </c>
      <c r="N45" s="4">
        <v>0.12560001</v>
      </c>
      <c r="O45" s="3" t="s">
        <v>114</v>
      </c>
      <c r="P45" s="5">
        <v>64</v>
      </c>
      <c r="Q45" s="5">
        <v>87.94087</v>
      </c>
      <c r="R45" s="5">
        <v>90</v>
      </c>
      <c r="S45" s="5">
        <v>102</v>
      </c>
      <c r="T45" s="7">
        <v>1.94</v>
      </c>
      <c r="U45" s="7">
        <v>2.27211</v>
      </c>
      <c r="V45" s="7">
        <v>2.54588</v>
      </c>
    </row>
    <row r="46" spans="1:22" ht="18" customHeight="1">
      <c r="A46" s="3" t="s">
        <v>115</v>
      </c>
      <c r="B46" s="4">
        <v>0.00452941</v>
      </c>
      <c r="C46" s="4">
        <v>0.168663863664392</v>
      </c>
      <c r="D46" s="4">
        <v>-0.2210526315789474</v>
      </c>
      <c r="E46" s="4">
        <v>0.06098582456140367</v>
      </c>
      <c r="F46" s="4">
        <v>0.08771929824561409</v>
      </c>
      <c r="G46" s="4">
        <v>0.2140350877192982</v>
      </c>
      <c r="H46" s="15"/>
      <c r="I46" s="6">
        <v>142.5</v>
      </c>
      <c r="J46" s="7">
        <v>43.711655</v>
      </c>
      <c r="K46" s="7">
        <v>25.061687</v>
      </c>
      <c r="L46" s="4">
        <v>0.5291302771515378</v>
      </c>
      <c r="M46" s="4">
        <v>0.29729998</v>
      </c>
      <c r="N46" s="4">
        <v>0.1657</v>
      </c>
      <c r="O46" s="3" t="s">
        <v>115</v>
      </c>
      <c r="P46" s="5">
        <v>111</v>
      </c>
      <c r="Q46" s="5">
        <v>151.19048</v>
      </c>
      <c r="R46" s="5">
        <v>155</v>
      </c>
      <c r="S46" s="5">
        <v>173</v>
      </c>
      <c r="T46" s="7">
        <v>5.03</v>
      </c>
      <c r="U46" s="7">
        <v>4.87784</v>
      </c>
      <c r="V46" s="7">
        <v>5.68597</v>
      </c>
    </row>
    <row r="47" spans="1:22" ht="18" customHeight="1">
      <c r="A47" s="3" t="s">
        <v>116</v>
      </c>
      <c r="B47" s="4">
        <v>0.00436181</v>
      </c>
      <c r="C47" s="4">
        <v>0.07322554264766779</v>
      </c>
      <c r="D47" s="4">
        <v>-0.1863303885298737</v>
      </c>
      <c r="E47" s="4">
        <v>0.08465696902930753</v>
      </c>
      <c r="F47" s="4">
        <v>0.1179112922806953</v>
      </c>
      <c r="G47" s="4">
        <v>0.248805968908498</v>
      </c>
      <c r="H47" s="15"/>
      <c r="I47" s="6">
        <v>282.6700134277344</v>
      </c>
      <c r="J47" s="7">
        <v>24.098042</v>
      </c>
      <c r="K47" s="7">
        <v>21.955702</v>
      </c>
      <c r="L47" s="4">
        <v>0.1957825211351811</v>
      </c>
      <c r="M47" s="4">
        <v>0.09429999999999999</v>
      </c>
      <c r="N47" s="4">
        <v>0.0505</v>
      </c>
      <c r="O47" s="3" t="s">
        <v>116</v>
      </c>
      <c r="P47" s="5">
        <v>230</v>
      </c>
      <c r="Q47" s="5">
        <v>306.6</v>
      </c>
      <c r="R47" s="5">
        <v>316</v>
      </c>
      <c r="S47" s="5">
        <v>353</v>
      </c>
      <c r="T47" s="7">
        <v>11.16</v>
      </c>
      <c r="U47" s="7">
        <v>12.25581</v>
      </c>
      <c r="V47" s="7">
        <v>12.87456</v>
      </c>
    </row>
    <row r="48" spans="1:22" ht="18" customHeight="1">
      <c r="A48" s="3" t="s">
        <v>117</v>
      </c>
      <c r="B48" s="4">
        <v>0.00427863</v>
      </c>
      <c r="C48" s="4">
        <v>-0.01239419251072427</v>
      </c>
      <c r="D48" s="4">
        <v>-0.2266311998645005</v>
      </c>
      <c r="E48" s="4">
        <v>0.179434732180292</v>
      </c>
      <c r="F48" s="4">
        <v>0.2078200966822066</v>
      </c>
      <c r="G48" s="4">
        <v>0.3044911966991439</v>
      </c>
      <c r="H48" s="15"/>
      <c r="I48" s="6">
        <v>879.27001953125</v>
      </c>
      <c r="J48" s="7">
        <v>32.481346</v>
      </c>
      <c r="K48" s="7">
        <v>25.804802</v>
      </c>
      <c r="L48" s="4">
        <v>0.409852023142071</v>
      </c>
      <c r="M48" s="4">
        <v>0.1427</v>
      </c>
      <c r="N48" s="4">
        <v>0.089700006</v>
      </c>
      <c r="O48" s="3" t="s">
        <v>117</v>
      </c>
      <c r="P48" s="5">
        <v>680</v>
      </c>
      <c r="Q48" s="5">
        <v>1037.0416</v>
      </c>
      <c r="R48" s="5">
        <v>1062</v>
      </c>
      <c r="S48" s="5">
        <v>1147</v>
      </c>
      <c r="T48" s="7">
        <v>27.12</v>
      </c>
      <c r="U48" s="7">
        <v>31.2294</v>
      </c>
      <c r="V48" s="7">
        <v>34.03139</v>
      </c>
    </row>
    <row r="49" spans="1:22" ht="18" customHeight="1">
      <c r="A49" s="3" t="s">
        <v>118</v>
      </c>
      <c r="B49" s="4">
        <v>0.00414818</v>
      </c>
      <c r="C49" s="4">
        <v>-0.001246056350834079</v>
      </c>
      <c r="D49" s="4">
        <v>0.07574777856471671</v>
      </c>
      <c r="E49" s="4">
        <v>0.2667911464959494</v>
      </c>
      <c r="F49" s="4">
        <v>0.2869375265038021</v>
      </c>
      <c r="G49" s="4">
        <v>0.4618290365158573</v>
      </c>
      <c r="H49" s="15"/>
      <c r="I49" s="6">
        <v>303.0450134277344</v>
      </c>
      <c r="J49" s="7">
        <v>32.939674</v>
      </c>
      <c r="K49" s="7">
        <v>22.259136</v>
      </c>
      <c r="L49" s="4">
        <v>0.4428709825918113</v>
      </c>
      <c r="M49" s="4">
        <v>0.0926</v>
      </c>
      <c r="N49" s="4">
        <v>0.16129999</v>
      </c>
      <c r="O49" s="3" t="s">
        <v>118</v>
      </c>
      <c r="P49" s="5">
        <v>326</v>
      </c>
      <c r="Q49" s="5">
        <v>383.89474</v>
      </c>
      <c r="R49" s="5">
        <v>390</v>
      </c>
      <c r="S49" s="5">
        <v>443</v>
      </c>
      <c r="T49" s="7">
        <v>8.529999999999999</v>
      </c>
      <c r="U49" s="7">
        <v>11.7232</v>
      </c>
      <c r="V49" s="7">
        <v>13.61441</v>
      </c>
    </row>
    <row r="50" spans="1:22" ht="18" customHeight="1">
      <c r="A50" s="3" t="s">
        <v>119</v>
      </c>
      <c r="B50" s="4">
        <v>0.00402804</v>
      </c>
      <c r="C50" s="4">
        <v>-0.06335926493733479</v>
      </c>
      <c r="D50" s="4">
        <v>-0.2202986463899059</v>
      </c>
      <c r="E50" s="4">
        <v>0.2432525740248903</v>
      </c>
      <c r="F50" s="4">
        <v>0.281881886443714</v>
      </c>
      <c r="G50" s="4">
        <v>0.6651249246588449</v>
      </c>
      <c r="H50" s="15"/>
      <c r="I50" s="6">
        <v>75.66999816894531</v>
      </c>
      <c r="J50" s="7">
        <v>27.616787</v>
      </c>
      <c r="K50" s="7">
        <v>5.3797035</v>
      </c>
      <c r="L50" s="4">
        <v>0.5994183576085428</v>
      </c>
      <c r="M50" s="4">
        <v>0.2094</v>
      </c>
      <c r="N50" s="4">
        <v>0.0955</v>
      </c>
      <c r="O50" s="3" t="s">
        <v>119</v>
      </c>
      <c r="P50" s="5">
        <v>59</v>
      </c>
      <c r="Q50" s="5">
        <v>94.07692</v>
      </c>
      <c r="R50" s="5">
        <v>97</v>
      </c>
      <c r="S50" s="5">
        <v>126</v>
      </c>
      <c r="T50" s="7">
        <v>3.27</v>
      </c>
      <c r="U50" s="7">
        <v>12.81987</v>
      </c>
      <c r="V50" s="7">
        <v>14.04383</v>
      </c>
    </row>
    <row r="51" spans="1:22" ht="18" customHeight="1">
      <c r="A51" s="3" t="s">
        <v>120</v>
      </c>
      <c r="B51" s="4">
        <v>0.00401958</v>
      </c>
      <c r="C51" s="4">
        <v>0.2529236207537626</v>
      </c>
      <c r="D51" s="4">
        <v>-0.5213094660684574</v>
      </c>
      <c r="E51" s="4">
        <v>0.04260419661453274</v>
      </c>
      <c r="F51" s="4">
        <v>0.05003084862402885</v>
      </c>
      <c r="G51" s="4">
        <v>0.1735638896386205</v>
      </c>
      <c r="H51" s="15"/>
      <c r="I51" s="6">
        <v>64.76000213623047</v>
      </c>
      <c r="J51" s="7">
        <v>34.264553</v>
      </c>
      <c r="K51" s="7">
        <v>17.481537</v>
      </c>
      <c r="L51" s="4">
        <v>0.3612566520635507</v>
      </c>
      <c r="M51" s="4">
        <v>0.4746</v>
      </c>
      <c r="N51" s="4">
        <v>0.4193</v>
      </c>
      <c r="O51" s="3" t="s">
        <v>120</v>
      </c>
      <c r="P51" s="5">
        <v>31</v>
      </c>
      <c r="Q51" s="5">
        <v>67.51904999999999</v>
      </c>
      <c r="R51" s="5">
        <v>68</v>
      </c>
      <c r="S51" s="5">
        <v>76</v>
      </c>
      <c r="T51" s="7">
        <v>1.52</v>
      </c>
      <c r="U51" s="7">
        <v>2.61013</v>
      </c>
      <c r="V51" s="7">
        <v>3.70448</v>
      </c>
    </row>
    <row r="52" spans="1:22" ht="18" customHeight="1">
      <c r="A52" s="3" t="s">
        <v>121</v>
      </c>
      <c r="B52" s="4">
        <v>0.003623</v>
      </c>
      <c r="C52" s="4">
        <v>-0.09886576750027032</v>
      </c>
      <c r="D52" s="4">
        <v>-0.0643938159463906</v>
      </c>
      <c r="E52" s="4">
        <v>0.2122602073945037</v>
      </c>
      <c r="F52" s="4">
        <v>0.2285737770400931</v>
      </c>
      <c r="G52" s="4">
        <v>0.5002775931162675</v>
      </c>
      <c r="H52" s="15"/>
      <c r="I52" s="6">
        <v>423.2550048828125</v>
      </c>
      <c r="J52" s="7">
        <v>14.579917</v>
      </c>
      <c r="K52" s="7">
        <v>12.767069</v>
      </c>
      <c r="L52" s="4">
        <v>0.5797197356638399</v>
      </c>
      <c r="M52" s="4">
        <v>0.070300005</v>
      </c>
      <c r="N52" s="4">
        <v>0.098000005</v>
      </c>
      <c r="O52" s="3" t="s">
        <v>121</v>
      </c>
      <c r="P52" s="5">
        <v>396</v>
      </c>
      <c r="Q52" s="5">
        <v>513.0952</v>
      </c>
      <c r="R52" s="5">
        <v>520</v>
      </c>
      <c r="S52" s="5">
        <v>635</v>
      </c>
      <c r="T52" s="7">
        <v>28.33</v>
      </c>
      <c r="U52" s="7">
        <v>30.1942</v>
      </c>
      <c r="V52" s="7">
        <v>33.15209</v>
      </c>
    </row>
    <row r="53" spans="1:22" ht="18" customHeight="1">
      <c r="A53" s="3" t="s">
        <v>122</v>
      </c>
      <c r="B53" s="4">
        <v>0.00354457</v>
      </c>
      <c r="C53" s="4">
        <v>-0.05480584629986207</v>
      </c>
      <c r="D53" s="4">
        <v>0.06419936440136631</v>
      </c>
      <c r="E53" s="4">
        <v>0.2877984845935746</v>
      </c>
      <c r="F53" s="4">
        <v>0.3157057636922991</v>
      </c>
      <c r="G53" s="4">
        <v>0.4769975170925946</v>
      </c>
      <c r="H53" s="15"/>
      <c r="I53" s="6">
        <v>551.7951049804688</v>
      </c>
      <c r="J53" s="7">
        <v>17.2814</v>
      </c>
      <c r="K53" s="7">
        <v>18.258001</v>
      </c>
      <c r="L53" s="4">
        <v>0.239527897012846</v>
      </c>
      <c r="M53" s="4">
        <v>0.060599998</v>
      </c>
      <c r="N53" s="4">
        <v>0.08189999000000001</v>
      </c>
      <c r="O53" s="3" t="s">
        <v>122</v>
      </c>
      <c r="P53" s="5">
        <v>587.22</v>
      </c>
      <c r="Q53" s="5">
        <v>710.6009</v>
      </c>
      <c r="R53" s="5">
        <v>726</v>
      </c>
      <c r="S53" s="5">
        <v>815</v>
      </c>
      <c r="T53" s="7">
        <v>29.08</v>
      </c>
      <c r="U53" s="7">
        <v>27.93498</v>
      </c>
      <c r="V53" s="7">
        <v>30.2221</v>
      </c>
    </row>
    <row r="54" spans="1:22" ht="18" customHeight="1">
      <c r="A54" s="3" t="s">
        <v>123</v>
      </c>
      <c r="B54" s="4">
        <v>0.00344725</v>
      </c>
      <c r="C54" s="4">
        <v>0.7611370790679544</v>
      </c>
      <c r="D54" s="4">
        <v>-0.08852270730415379</v>
      </c>
      <c r="E54" s="4">
        <v>0.09203656928788839</v>
      </c>
      <c r="F54" s="4">
        <v>0.1013683953408142</v>
      </c>
      <c r="G54" s="4">
        <v>0.2153030569277949</v>
      </c>
      <c r="H54" s="15"/>
      <c r="I54" s="6">
        <v>1645.680053710938</v>
      </c>
      <c r="J54" s="7">
        <v>118.13927</v>
      </c>
      <c r="K54" s="7">
        <v>54.56705</v>
      </c>
      <c r="L54" s="4">
        <v>0.5379547680506784</v>
      </c>
      <c r="M54" s="4">
        <v>0.3518</v>
      </c>
      <c r="N54" s="4">
        <v>0.2555</v>
      </c>
      <c r="O54" s="3" t="s">
        <v>123</v>
      </c>
      <c r="P54" s="5">
        <v>1500</v>
      </c>
      <c r="Q54" s="5">
        <v>1797.1428</v>
      </c>
      <c r="R54" s="5">
        <v>1812.5</v>
      </c>
      <c r="S54" s="5">
        <v>2000</v>
      </c>
      <c r="T54" s="7">
        <v>12.86</v>
      </c>
      <c r="U54" s="7">
        <v>24.02205</v>
      </c>
      <c r="V54" s="7">
        <v>30.15886</v>
      </c>
    </row>
    <row r="55" spans="1:22" ht="18" customHeight="1">
      <c r="A55" s="3" t="s">
        <v>124</v>
      </c>
      <c r="B55" s="4">
        <v>0.00326232</v>
      </c>
      <c r="C55" s="4">
        <v>0.22700348803862</v>
      </c>
      <c r="D55" s="4">
        <v>-0.1231619801928026</v>
      </c>
      <c r="E55" s="4">
        <v>0.1042235671501497</v>
      </c>
      <c r="F55" s="4">
        <v>0.1196547022153445</v>
      </c>
      <c r="G55" s="4">
        <v>0.2140834120407349</v>
      </c>
      <c r="H55" s="15"/>
      <c r="I55" s="6">
        <v>74.12999725341797</v>
      </c>
      <c r="J55" s="7">
        <v>32.513157</v>
      </c>
      <c r="K55" s="7">
        <v>28.592257</v>
      </c>
      <c r="L55" s="4">
        <v>0.1129021060055067</v>
      </c>
      <c r="M55" s="4">
        <v>0.137</v>
      </c>
      <c r="N55" s="4">
        <v>0.0859</v>
      </c>
      <c r="O55" s="3" t="s">
        <v>124</v>
      </c>
      <c r="P55" s="5">
        <v>65</v>
      </c>
      <c r="Q55" s="5">
        <v>81.85608999999999</v>
      </c>
      <c r="R55" s="5">
        <v>83</v>
      </c>
      <c r="S55" s="5">
        <v>90</v>
      </c>
      <c r="T55" s="7">
        <v>2.14</v>
      </c>
      <c r="U55" s="7">
        <v>2.38764</v>
      </c>
      <c r="V55" s="7">
        <v>2.59266</v>
      </c>
    </row>
    <row r="56" spans="1:22" ht="18" customHeight="1">
      <c r="A56" s="3" t="s">
        <v>125</v>
      </c>
      <c r="B56" s="4">
        <v>0.00320167</v>
      </c>
      <c r="C56" s="4">
        <v>0.1487384481168568</v>
      </c>
      <c r="D56" s="4">
        <v>-0.0003060139424982955</v>
      </c>
      <c r="E56" s="4">
        <v>0.1014439846462045</v>
      </c>
      <c r="F56" s="4">
        <v>0.09890025948305525</v>
      </c>
      <c r="G56" s="4">
        <v>0.2896815545321969</v>
      </c>
      <c r="H56" s="15"/>
      <c r="I56" s="6">
        <v>131.0401000976562</v>
      </c>
      <c r="J56" s="7">
        <v>19.38463</v>
      </c>
      <c r="K56" s="7">
        <v>19.030483</v>
      </c>
      <c r="L56" s="4">
        <v>0.297895727411061</v>
      </c>
      <c r="M56" s="4">
        <v>0.06809999999999999</v>
      </c>
      <c r="N56" s="4">
        <v>0.0799</v>
      </c>
      <c r="O56" s="3" t="s">
        <v>125</v>
      </c>
      <c r="P56" s="5">
        <v>131</v>
      </c>
      <c r="Q56" s="5">
        <v>144.33333</v>
      </c>
      <c r="R56" s="5">
        <v>144</v>
      </c>
      <c r="S56" s="5">
        <v>169</v>
      </c>
      <c r="T56" s="7">
        <v>6.66</v>
      </c>
      <c r="U56" s="7">
        <v>6.37627</v>
      </c>
      <c r="V56" s="7">
        <v>6.8858</v>
      </c>
    </row>
    <row r="57" spans="1:22" ht="18" customHeight="1">
      <c r="A57" s="3" t="s">
        <v>126</v>
      </c>
      <c r="B57" s="4">
        <v>0.0031716</v>
      </c>
      <c r="C57" s="4">
        <v>-0.108523738085305</v>
      </c>
      <c r="D57" s="4">
        <v>0.1751780272641663</v>
      </c>
      <c r="E57" s="4">
        <v>0.3406139053603303</v>
      </c>
      <c r="F57" s="4">
        <v>0.3391563566498639</v>
      </c>
      <c r="G57" s="4">
        <v>0.5031346860355614</v>
      </c>
      <c r="H57" s="15"/>
      <c r="I57" s="6">
        <v>182.9510040283203</v>
      </c>
      <c r="J57" s="7">
        <v>27.888872</v>
      </c>
      <c r="K57" s="7">
        <v>15.27462</v>
      </c>
      <c r="L57" s="4">
        <v>0.7587067926364786</v>
      </c>
      <c r="M57" s="4">
        <v>0.3069</v>
      </c>
      <c r="N57" s="4">
        <v>0.11229999</v>
      </c>
      <c r="O57" s="3" t="s">
        <v>126</v>
      </c>
      <c r="P57" s="5">
        <v>215</v>
      </c>
      <c r="Q57" s="5">
        <v>245.26666</v>
      </c>
      <c r="R57" s="5">
        <v>245</v>
      </c>
      <c r="S57" s="5">
        <v>275</v>
      </c>
      <c r="T57" s="7">
        <v>6.45</v>
      </c>
      <c r="U57" s="7">
        <v>10.76846</v>
      </c>
      <c r="V57" s="7">
        <v>11.97745</v>
      </c>
    </row>
    <row r="58" spans="1:22" ht="18" customHeight="1">
      <c r="A58" s="3" t="s">
        <v>127</v>
      </c>
      <c r="B58" s="4">
        <v>0.00311116</v>
      </c>
      <c r="C58" s="4">
        <v>-0.117103724461794</v>
      </c>
      <c r="D58" s="4">
        <v>0.07170694323965332</v>
      </c>
      <c r="E58" s="4">
        <v>0.2883559117921868</v>
      </c>
      <c r="F58" s="4">
        <v>0.2665627511014084</v>
      </c>
      <c r="G58" s="4">
        <v>0.7537022707557961</v>
      </c>
      <c r="H58" s="15"/>
      <c r="I58" s="6">
        <v>205.2799987792969</v>
      </c>
      <c r="J58" s="7">
        <v>20.968334</v>
      </c>
      <c r="K58" s="7">
        <v>16.26252</v>
      </c>
      <c r="L58" s="4">
        <v>0.6373698614443997</v>
      </c>
      <c r="M58" s="4">
        <v>0.2827</v>
      </c>
      <c r="N58" s="4">
        <v>0.1234</v>
      </c>
      <c r="O58" s="3" t="s">
        <v>127</v>
      </c>
      <c r="P58" s="5">
        <v>220</v>
      </c>
      <c r="Q58" s="5">
        <v>264.4737</v>
      </c>
      <c r="R58" s="5">
        <v>260</v>
      </c>
      <c r="S58" s="5">
        <v>360</v>
      </c>
      <c r="T58" s="7">
        <v>6.16</v>
      </c>
      <c r="U58" s="7">
        <v>11.2361</v>
      </c>
      <c r="V58" s="7">
        <v>12.62289</v>
      </c>
    </row>
    <row r="59" spans="1:22" ht="18" customHeight="1">
      <c r="A59" s="3" t="s">
        <v>128</v>
      </c>
      <c r="B59" s="4">
        <v>0.00305331</v>
      </c>
      <c r="C59" s="4">
        <v>0.7553829467998268</v>
      </c>
      <c r="D59" s="4">
        <v>-0.2586389308746431</v>
      </c>
      <c r="E59" s="4">
        <v>0.01464713290545583</v>
      </c>
      <c r="F59" s="4">
        <v>0.0626175324130116</v>
      </c>
      <c r="G59" s="4">
        <v>0.2905174166256212</v>
      </c>
      <c r="H59" s="15"/>
      <c r="I59" s="6">
        <v>364.1950073242188</v>
      </c>
      <c r="J59" s="7">
        <v>67.44352000000001</v>
      </c>
      <c r="K59" s="7">
        <v>38.283043</v>
      </c>
      <c r="L59" s="4">
        <v>0.5360537887020902</v>
      </c>
      <c r="M59" s="4">
        <v>0.8128</v>
      </c>
      <c r="N59" s="4">
        <v>0.3252</v>
      </c>
      <c r="O59" s="3" t="s">
        <v>128</v>
      </c>
      <c r="P59" s="5">
        <v>270</v>
      </c>
      <c r="Q59" s="5">
        <v>369.52942</v>
      </c>
      <c r="R59" s="5">
        <v>387</v>
      </c>
      <c r="S59" s="5">
        <v>470</v>
      </c>
      <c r="T59" s="7">
        <v>3.47</v>
      </c>
      <c r="U59" s="7">
        <v>7.17873</v>
      </c>
      <c r="V59" s="7">
        <v>9.51322</v>
      </c>
    </row>
    <row r="60" spans="1:22" ht="18" customHeight="1">
      <c r="A60" s="3" t="s">
        <v>129</v>
      </c>
      <c r="B60" s="4">
        <v>0.00284069</v>
      </c>
      <c r="C60" s="4">
        <v>-0.2282823613721969</v>
      </c>
      <c r="D60" s="4">
        <v>0.07252981970589323</v>
      </c>
      <c r="E60" s="4">
        <v>0.3674755201250137</v>
      </c>
      <c r="F60" s="4">
        <v>0.3502384337368833</v>
      </c>
      <c r="G60" s="4">
        <v>0.6279470477678735</v>
      </c>
      <c r="H60" s="15"/>
      <c r="I60" s="6">
        <v>261.0650024414062</v>
      </c>
      <c r="J60" s="7">
        <v>20.00498</v>
      </c>
      <c r="K60" s="7">
        <v>13.201156</v>
      </c>
      <c r="L60" s="4">
        <v>0.5144446187552332</v>
      </c>
      <c r="M60" s="4">
        <v>0.1102</v>
      </c>
      <c r="N60" s="4">
        <v>0.113299996</v>
      </c>
      <c r="O60" s="3" t="s">
        <v>129</v>
      </c>
      <c r="P60" s="5">
        <v>280</v>
      </c>
      <c r="Q60" s="5">
        <v>357</v>
      </c>
      <c r="R60" s="5">
        <v>352.5</v>
      </c>
      <c r="S60" s="5">
        <v>425</v>
      </c>
      <c r="T60" s="7">
        <v>7.96</v>
      </c>
      <c r="U60" s="7">
        <v>17.7635</v>
      </c>
      <c r="V60" s="7">
        <v>19.77592</v>
      </c>
    </row>
    <row r="61" spans="1:22" ht="18" customHeight="1">
      <c r="A61" s="3" t="s">
        <v>130</v>
      </c>
      <c r="B61" s="4">
        <v>0.00253887</v>
      </c>
      <c r="C61" s="4">
        <v>-0.3031420510363521</v>
      </c>
      <c r="D61" s="4">
        <v>-0.3523074344139131</v>
      </c>
      <c r="E61" s="4">
        <v>0.2261059414568842</v>
      </c>
      <c r="F61" s="4">
        <v>0.2144235604739129</v>
      </c>
      <c r="G61" s="4">
        <v>0.9306220704969896</v>
      </c>
      <c r="H61" s="15"/>
      <c r="I61" s="6">
        <v>80.28500366210938</v>
      </c>
      <c r="J61" s="7">
        <v>38.973305</v>
      </c>
      <c r="K61" s="7">
        <v>31.392475</v>
      </c>
      <c r="L61" s="4">
        <v>1.867647119985678</v>
      </c>
      <c r="M61" s="4">
        <v>-0.0809</v>
      </c>
      <c r="N61" s="4">
        <v>0.1906</v>
      </c>
      <c r="O61" s="3" t="s">
        <v>130</v>
      </c>
      <c r="P61" s="5">
        <v>52</v>
      </c>
      <c r="Q61" s="5">
        <v>98.43792000000001</v>
      </c>
      <c r="R61" s="5">
        <v>97.5</v>
      </c>
      <c r="S61" s="5">
        <v>155</v>
      </c>
      <c r="T61" s="7">
        <v>2.05</v>
      </c>
      <c r="U61" s="7">
        <v>1.89729</v>
      </c>
      <c r="V61" s="7">
        <v>2.49349</v>
      </c>
    </row>
    <row r="62" spans="1:22" ht="18" customHeight="1">
      <c r="A62" s="3" t="s">
        <v>131</v>
      </c>
      <c r="B62" s="4">
        <v>0.00252973</v>
      </c>
      <c r="C62" s="4">
        <v>0.1509153679670809</v>
      </c>
      <c r="D62" s="4">
        <v>-0.3830806391527101</v>
      </c>
      <c r="E62" s="4">
        <v>0.005640687648629017</v>
      </c>
      <c r="F62" s="4">
        <v>0.04351253590126691</v>
      </c>
      <c r="G62" s="4">
        <v>0.1485200866837844</v>
      </c>
      <c r="H62" s="15"/>
      <c r="I62" s="6">
        <v>457.1099853515625</v>
      </c>
      <c r="J62" s="7">
        <v>47.516632</v>
      </c>
      <c r="K62" s="7">
        <v>31.715534</v>
      </c>
      <c r="L62" s="4">
        <v>0.4077658811683735</v>
      </c>
      <c r="M62" s="4">
        <v>0.23020001</v>
      </c>
      <c r="N62" s="4">
        <v>0.1158</v>
      </c>
      <c r="O62" s="3" t="s">
        <v>131</v>
      </c>
      <c r="P62" s="5">
        <v>282</v>
      </c>
      <c r="Q62" s="5">
        <v>459.6884</v>
      </c>
      <c r="R62" s="5">
        <v>477</v>
      </c>
      <c r="S62" s="5">
        <v>525</v>
      </c>
      <c r="T62" s="7">
        <v>7.67</v>
      </c>
      <c r="U62" s="7">
        <v>12.95403</v>
      </c>
      <c r="V62" s="7">
        <v>14.45358</v>
      </c>
    </row>
    <row r="63" spans="1:22" ht="18" customHeight="1">
      <c r="A63" s="3" t="s">
        <v>132</v>
      </c>
      <c r="B63" s="4">
        <v>0.00221627</v>
      </c>
      <c r="C63" s="4">
        <v>-0.08350874236493766</v>
      </c>
      <c r="D63" s="4">
        <v>-0.1735537450631592</v>
      </c>
      <c r="E63" s="4">
        <v>0.1322313692634718</v>
      </c>
      <c r="F63" s="4">
        <v>0.0743801314178929</v>
      </c>
      <c r="G63" s="4">
        <v>0.4876032588863133</v>
      </c>
      <c r="H63" s="15"/>
      <c r="I63" s="6">
        <v>12.10000038146973</v>
      </c>
      <c r="J63" s="9" t="s">
        <v>79</v>
      </c>
      <c r="K63" s="7">
        <v>6.530813</v>
      </c>
      <c r="L63" s="4">
        <v>0.4603283451889613</v>
      </c>
      <c r="M63" s="4">
        <v>0.47509998</v>
      </c>
      <c r="N63" s="4">
        <v>0.1518</v>
      </c>
      <c r="O63" s="3" t="s">
        <v>132</v>
      </c>
      <c r="P63" s="5">
        <v>10</v>
      </c>
      <c r="Q63" s="5">
        <v>13.7</v>
      </c>
      <c r="R63" s="5">
        <v>13</v>
      </c>
      <c r="S63" s="5">
        <v>18</v>
      </c>
      <c r="T63" s="7">
        <v>-2.06</v>
      </c>
      <c r="U63" s="7">
        <v>1.60784</v>
      </c>
      <c r="V63" s="7">
        <v>1.85199</v>
      </c>
    </row>
    <row r="64" spans="1:22" ht="18" customHeight="1">
      <c r="A64" s="3" t="s">
        <v>133</v>
      </c>
      <c r="B64" s="4">
        <v>0.00195733</v>
      </c>
      <c r="C64" s="4">
        <v>0.1347999145684691</v>
      </c>
      <c r="D64" s="4">
        <v>-0.01370491082065051</v>
      </c>
      <c r="E64" s="4">
        <v>0.09237915400387253</v>
      </c>
      <c r="F64" s="4">
        <v>0.08951201711672319</v>
      </c>
      <c r="G64" s="4">
        <v>0.1697918499569029</v>
      </c>
      <c r="H64" s="15"/>
      <c r="I64" s="6">
        <v>87.19499969482422</v>
      </c>
      <c r="J64" s="7">
        <v>158.53636</v>
      </c>
      <c r="K64" s="7">
        <v>96.17059999999999</v>
      </c>
      <c r="L64" s="4">
        <v>0.3726044590392128</v>
      </c>
      <c r="M64" s="4">
        <v>0.352</v>
      </c>
      <c r="N64" s="4">
        <v>0.48630002</v>
      </c>
      <c r="O64" s="3" t="s">
        <v>133</v>
      </c>
      <c r="P64" s="5">
        <v>86</v>
      </c>
      <c r="Q64" s="5">
        <v>95.25</v>
      </c>
      <c r="R64" s="5">
        <v>95</v>
      </c>
      <c r="S64" s="5">
        <v>102</v>
      </c>
      <c r="T64" s="7">
        <v>0.54</v>
      </c>
      <c r="U64" s="7">
        <v>0.61</v>
      </c>
      <c r="V64" s="7">
        <v>0.90667</v>
      </c>
    </row>
    <row r="65" spans="1:22" ht="18" customHeight="1">
      <c r="A65" s="3" t="s">
        <v>134</v>
      </c>
      <c r="B65" s="4">
        <v>0.00195607</v>
      </c>
      <c r="C65" s="4">
        <v>-0.2076075355311905</v>
      </c>
      <c r="D65" s="4">
        <v>-0.1147025632016982</v>
      </c>
      <c r="E65" s="4">
        <v>0.3357497695610947</v>
      </c>
      <c r="F65" s="4">
        <v>0.3420732419548724</v>
      </c>
      <c r="G65" s="4">
        <v>0.5163073119630488</v>
      </c>
      <c r="H65" s="15"/>
      <c r="I65" s="6">
        <v>530.89501953125</v>
      </c>
      <c r="J65" s="7">
        <v>39.007717</v>
      </c>
      <c r="K65" s="7">
        <v>32.170856</v>
      </c>
      <c r="L65" s="4">
        <v>0.6547144899041195</v>
      </c>
      <c r="M65" s="4">
        <v>0.1171</v>
      </c>
      <c r="N65" s="4">
        <v>0.1293</v>
      </c>
      <c r="O65" s="3" t="s">
        <v>134</v>
      </c>
      <c r="P65" s="5">
        <v>470</v>
      </c>
      <c r="Q65" s="5">
        <v>709.1429000000001</v>
      </c>
      <c r="R65" s="5">
        <v>712.5</v>
      </c>
      <c r="S65" s="5">
        <v>805</v>
      </c>
      <c r="T65" s="7">
        <v>13.08</v>
      </c>
      <c r="U65" s="7">
        <v>14.61227</v>
      </c>
      <c r="V65" s="7">
        <v>16.50236</v>
      </c>
    </row>
    <row r="66" spans="1:22" ht="18" customHeight="1">
      <c r="A66" s="3" t="s">
        <v>135</v>
      </c>
      <c r="B66" s="4">
        <v>0.00195101</v>
      </c>
      <c r="C66" s="4">
        <v>0.4610518651823852</v>
      </c>
      <c r="D66" s="4">
        <v>-0.05051070318709094</v>
      </c>
      <c r="E66" s="4">
        <v>0.05516691911355487</v>
      </c>
      <c r="F66" s="4">
        <v>0.01547075642194162</v>
      </c>
      <c r="G66" s="4">
        <v>0.2048321811535558</v>
      </c>
      <c r="H66" s="15"/>
      <c r="I66" s="6">
        <v>932.0800170898438</v>
      </c>
      <c r="J66" s="7">
        <v>31.309372</v>
      </c>
      <c r="K66" s="7">
        <v>28.7423</v>
      </c>
      <c r="L66" s="4">
        <v>0.3395050497320884</v>
      </c>
      <c r="M66" s="4">
        <v>0.13159999</v>
      </c>
      <c r="N66" s="4">
        <v>0.107700005</v>
      </c>
      <c r="O66" s="3" t="s">
        <v>135</v>
      </c>
      <c r="P66" s="5">
        <v>885</v>
      </c>
      <c r="Q66" s="5">
        <v>983.5</v>
      </c>
      <c r="R66" s="5">
        <v>946.5</v>
      </c>
      <c r="S66" s="5">
        <v>1123</v>
      </c>
      <c r="T66" s="7">
        <v>28.19</v>
      </c>
      <c r="U66" s="7">
        <v>29.27472</v>
      </c>
      <c r="V66" s="7">
        <v>32.42886</v>
      </c>
    </row>
    <row r="67" spans="1:22" ht="18" customHeight="1">
      <c r="A67" s="3" t="s">
        <v>136</v>
      </c>
      <c r="B67" s="4">
        <v>0.00192599</v>
      </c>
      <c r="C67" s="4">
        <v>0.2188290549711522</v>
      </c>
      <c r="D67" s="4">
        <v>-0.194939646553891</v>
      </c>
      <c r="E67" s="4">
        <v>0.07994361078540613</v>
      </c>
      <c r="F67" s="4">
        <v>0.1146989509253817</v>
      </c>
      <c r="G67" s="4">
        <v>0.1943203045629089</v>
      </c>
      <c r="H67" s="15"/>
      <c r="I67" s="6">
        <v>113.0350036621094</v>
      </c>
      <c r="J67" s="7">
        <v>28.835459</v>
      </c>
      <c r="K67" s="7">
        <v>22.541271</v>
      </c>
      <c r="L67" s="4">
        <v>0.2604263493573045</v>
      </c>
      <c r="M67" s="4">
        <v>0.123</v>
      </c>
      <c r="N67" s="4">
        <v>0.1421</v>
      </c>
      <c r="O67" s="3" t="s">
        <v>136</v>
      </c>
      <c r="P67" s="5">
        <v>91</v>
      </c>
      <c r="Q67" s="5">
        <v>122.07143</v>
      </c>
      <c r="R67" s="5">
        <v>126</v>
      </c>
      <c r="S67" s="5">
        <v>135</v>
      </c>
      <c r="T67" s="7">
        <v>3.91</v>
      </c>
      <c r="U67" s="7">
        <v>4.39085</v>
      </c>
      <c r="V67" s="7">
        <v>5.01458</v>
      </c>
    </row>
    <row r="68" spans="1:22" ht="18" customHeight="1">
      <c r="A68" s="3" t="s">
        <v>137</v>
      </c>
      <c r="B68" s="4">
        <v>0.00182593</v>
      </c>
      <c r="C68" s="4">
        <v>0.2395424574832541</v>
      </c>
      <c r="D68" s="4">
        <v>-0.3956580371384922</v>
      </c>
      <c r="E68" s="4">
        <v>-0.01497429501748859</v>
      </c>
      <c r="F68" s="4">
        <v>0.0227325525348594</v>
      </c>
      <c r="G68" s="4">
        <v>0.2086839257230155</v>
      </c>
      <c r="H68" s="15"/>
      <c r="I68" s="6">
        <v>107.5550003051758</v>
      </c>
      <c r="J68" s="7">
        <v>24.839493</v>
      </c>
      <c r="K68" s="7">
        <v>15.922586</v>
      </c>
      <c r="L68" s="4">
        <v>0.4201285030158126</v>
      </c>
      <c r="M68" s="4">
        <v>0.1092</v>
      </c>
      <c r="N68" s="4">
        <v>0.1033</v>
      </c>
      <c r="O68" s="3" t="s">
        <v>137</v>
      </c>
      <c r="P68" s="5">
        <v>65</v>
      </c>
      <c r="Q68" s="5">
        <v>105.94444</v>
      </c>
      <c r="R68" s="5">
        <v>110</v>
      </c>
      <c r="S68" s="5">
        <v>130</v>
      </c>
      <c r="T68" s="7">
        <v>4.34</v>
      </c>
      <c r="U68" s="7">
        <v>6.12256</v>
      </c>
      <c r="V68" s="7">
        <v>6.75487</v>
      </c>
    </row>
    <row r="69" spans="1:22" ht="18" customHeight="1">
      <c r="A69" s="3" t="s">
        <v>138</v>
      </c>
      <c r="B69" s="4">
        <v>0.00180749</v>
      </c>
      <c r="C69" s="4">
        <v>-0.2211052304764417</v>
      </c>
      <c r="D69" s="4">
        <v>0.05098709695735137</v>
      </c>
      <c r="E69" s="4">
        <v>0.3847465128829965</v>
      </c>
      <c r="F69" s="4">
        <v>0.3681768964895249</v>
      </c>
      <c r="G69" s="4">
        <v>0.6569616393471756</v>
      </c>
      <c r="H69" s="15"/>
      <c r="I69" s="6">
        <v>105.6149978637695</v>
      </c>
      <c r="J69" s="7">
        <v>15.418248</v>
      </c>
      <c r="K69" s="7">
        <v>13.235825</v>
      </c>
      <c r="L69" s="4">
        <v>0.800605744234363</v>
      </c>
      <c r="M69" s="4">
        <v>0.0644</v>
      </c>
      <c r="N69" s="4">
        <v>0.094399996</v>
      </c>
      <c r="O69" s="3" t="s">
        <v>138</v>
      </c>
      <c r="P69" s="5">
        <v>111</v>
      </c>
      <c r="Q69" s="5">
        <v>146.25</v>
      </c>
      <c r="R69" s="5">
        <v>144.5</v>
      </c>
      <c r="S69" s="5">
        <v>175</v>
      </c>
      <c r="T69" s="7">
        <v>5.11</v>
      </c>
      <c r="U69" s="7">
        <v>7.28444</v>
      </c>
      <c r="V69" s="7">
        <v>7.95512</v>
      </c>
    </row>
    <row r="70" spans="1:22" ht="18" customHeight="1">
      <c r="A70" s="3" t="s">
        <v>139</v>
      </c>
      <c r="B70" s="4">
        <v>0.00167861</v>
      </c>
      <c r="C70" s="4">
        <v>0.4119257698094676</v>
      </c>
      <c r="D70" s="4">
        <v>-0.2187723838502502</v>
      </c>
      <c r="E70" s="4">
        <v>-0.05402367018904741</v>
      </c>
      <c r="F70" s="4">
        <v>-0.04135072743528867</v>
      </c>
      <c r="G70" s="4">
        <v>0.1303476497404805</v>
      </c>
      <c r="H70" s="15"/>
      <c r="I70" s="6">
        <v>349.4500122070312</v>
      </c>
      <c r="J70" s="7">
        <v>29.842016</v>
      </c>
      <c r="K70" s="7">
        <v>24.326626</v>
      </c>
      <c r="L70" s="4">
        <v>0.2851886101814496</v>
      </c>
      <c r="M70" s="4">
        <v>0.2791</v>
      </c>
      <c r="N70" s="4">
        <v>0.0525</v>
      </c>
      <c r="O70" s="3" t="s">
        <v>139</v>
      </c>
      <c r="P70" s="5">
        <v>273</v>
      </c>
      <c r="Q70" s="5">
        <v>330.57144</v>
      </c>
      <c r="R70" s="5">
        <v>335</v>
      </c>
      <c r="S70" s="5">
        <v>395</v>
      </c>
      <c r="T70" s="7">
        <v>10.42</v>
      </c>
      <c r="U70" s="7">
        <v>13.64781</v>
      </c>
      <c r="V70" s="7">
        <v>14.36492</v>
      </c>
    </row>
    <row r="71" spans="1:22" ht="18" customHeight="1">
      <c r="A71" s="3" t="s">
        <v>140</v>
      </c>
      <c r="B71" s="4">
        <v>0.00167337</v>
      </c>
      <c r="C71" s="4">
        <v>0.1734737741577299</v>
      </c>
      <c r="D71" s="4">
        <v>-0.2024193377449325</v>
      </c>
      <c r="E71" s="4">
        <v>0.05703165773498542</v>
      </c>
      <c r="F71" s="4">
        <v>0.08670365232252952</v>
      </c>
      <c r="G71" s="4">
        <v>0.1631384657886401</v>
      </c>
      <c r="H71" s="15"/>
      <c r="I71" s="6">
        <v>150.4550018310547</v>
      </c>
      <c r="J71" s="7">
        <v>15.278679</v>
      </c>
      <c r="K71" s="7">
        <v>10.925187</v>
      </c>
      <c r="L71" s="4">
        <v>0.347697333354869</v>
      </c>
      <c r="M71" s="4">
        <v>0.2092</v>
      </c>
      <c r="N71" s="4">
        <v>0.106000006</v>
      </c>
      <c r="O71" s="3" t="s">
        <v>140</v>
      </c>
      <c r="P71" s="5">
        <v>120</v>
      </c>
      <c r="Q71" s="5">
        <v>159.0357</v>
      </c>
      <c r="R71" s="5">
        <v>163.5</v>
      </c>
      <c r="S71" s="5">
        <v>175</v>
      </c>
      <c r="T71" s="7">
        <v>9.4</v>
      </c>
      <c r="U71" s="7">
        <v>12.45485</v>
      </c>
      <c r="V71" s="7">
        <v>13.77505</v>
      </c>
    </row>
    <row r="72" spans="1:22" ht="18" customHeight="1">
      <c r="A72" s="3" t="s">
        <v>141</v>
      </c>
      <c r="B72" s="4">
        <v>0.00156854</v>
      </c>
      <c r="C72" s="4">
        <v>0.3607299391602377</v>
      </c>
      <c r="D72" s="4">
        <v>-0.2727272727272727</v>
      </c>
      <c r="E72" s="4">
        <v>-0.0708463949843261</v>
      </c>
      <c r="F72" s="4">
        <v>-0.05329153605015668</v>
      </c>
      <c r="G72" s="4">
        <v>0.128526645768025</v>
      </c>
      <c r="H72" s="15"/>
      <c r="I72" s="6">
        <v>79.75</v>
      </c>
      <c r="J72" s="7">
        <v>35.60268</v>
      </c>
      <c r="K72" s="7">
        <v>15.363484</v>
      </c>
      <c r="L72" s="4">
        <v>0.189431589611222</v>
      </c>
      <c r="M72" s="4">
        <v>0.3671</v>
      </c>
      <c r="N72" s="4">
        <v>0.107</v>
      </c>
      <c r="O72" s="3" t="s">
        <v>141</v>
      </c>
      <c r="P72" s="5">
        <v>58</v>
      </c>
      <c r="Q72" s="5">
        <v>74.09999999999999</v>
      </c>
      <c r="R72" s="5">
        <v>75.5</v>
      </c>
      <c r="S72" s="5">
        <v>90</v>
      </c>
      <c r="T72" s="7">
        <v>2.23</v>
      </c>
      <c r="U72" s="7">
        <v>4.68913</v>
      </c>
      <c r="V72" s="7">
        <v>5.19088</v>
      </c>
    </row>
    <row r="73" spans="1:22" ht="18" customHeight="1">
      <c r="A73" s="3" t="s">
        <v>142</v>
      </c>
      <c r="B73" s="4">
        <v>0.00149568</v>
      </c>
      <c r="C73" s="4">
        <v>0.5302658260254711</v>
      </c>
      <c r="D73" s="4">
        <v>-0.2576377554424516</v>
      </c>
      <c r="E73" s="4">
        <v>-0.1543052818410345</v>
      </c>
      <c r="F73" s="4">
        <v>-0.1842173136730237</v>
      </c>
      <c r="G73" s="4">
        <v>-0.03465715451307805</v>
      </c>
      <c r="H73" s="15"/>
      <c r="I73" s="6">
        <v>367.7449951171875</v>
      </c>
      <c r="J73" s="7">
        <v>49.56132</v>
      </c>
      <c r="K73" s="7">
        <v>25.24738</v>
      </c>
      <c r="L73" s="4">
        <v>0.5991847796997578</v>
      </c>
      <c r="M73" s="4">
        <v>0.2669</v>
      </c>
      <c r="N73" s="4">
        <v>0.1792</v>
      </c>
      <c r="O73" s="3" t="s">
        <v>142</v>
      </c>
      <c r="P73" s="5">
        <v>273</v>
      </c>
      <c r="Q73" s="5">
        <v>311</v>
      </c>
      <c r="R73" s="5">
        <v>300</v>
      </c>
      <c r="S73" s="5">
        <v>355</v>
      </c>
      <c r="T73" s="7">
        <v>5.92</v>
      </c>
      <c r="U73" s="7">
        <v>12.35264</v>
      </c>
      <c r="V73" s="7">
        <v>14.56567</v>
      </c>
    </row>
    <row r="74" spans="1:22" ht="18" customHeight="1">
      <c r="A74" s="3" t="s">
        <v>143</v>
      </c>
      <c r="B74" s="4">
        <v>0.00145476</v>
      </c>
      <c r="C74" s="4">
        <v>0.048283929883705</v>
      </c>
      <c r="D74" s="4">
        <v>-0.4738072758840736</v>
      </c>
      <c r="E74" s="4">
        <v>0.1492049094691834</v>
      </c>
      <c r="F74" s="4">
        <v>0.1985500938196103</v>
      </c>
      <c r="G74" s="4">
        <v>0.3447147394073677</v>
      </c>
      <c r="H74" s="15"/>
      <c r="I74" s="6">
        <v>171.0399932861328</v>
      </c>
      <c r="J74" s="7">
        <v>34.69371</v>
      </c>
      <c r="K74" s="7">
        <v>23.502932</v>
      </c>
      <c r="L74" s="4">
        <v>0.5984412093628524</v>
      </c>
      <c r="M74" s="4">
        <v>0.2047</v>
      </c>
      <c r="N74" s="4">
        <v>0.1868</v>
      </c>
      <c r="O74" s="3" t="s">
        <v>143</v>
      </c>
      <c r="P74" s="5">
        <v>90</v>
      </c>
      <c r="Q74" s="5">
        <v>196.56</v>
      </c>
      <c r="R74" s="5">
        <v>205</v>
      </c>
      <c r="S74" s="5">
        <v>230</v>
      </c>
      <c r="T74" s="7">
        <v>4.83</v>
      </c>
      <c r="U74" s="7">
        <v>6.13195</v>
      </c>
      <c r="V74" s="7">
        <v>7.27739</v>
      </c>
    </row>
    <row r="75" spans="1:22" ht="18" customHeight="1">
      <c r="A75" s="3" t="s">
        <v>144</v>
      </c>
      <c r="B75" s="4">
        <v>0.00142041</v>
      </c>
      <c r="C75" s="4">
        <v>0.04909771855883904</v>
      </c>
      <c r="D75" s="4">
        <v>-0.348365350859501</v>
      </c>
      <c r="E75" s="4">
        <v>0.2253225387362181</v>
      </c>
      <c r="F75" s="4">
        <v>0.2514347239175492</v>
      </c>
      <c r="G75" s="4">
        <v>0.4809878389556794</v>
      </c>
      <c r="H75" s="15"/>
      <c r="I75" s="6">
        <v>135.0449981689453</v>
      </c>
      <c r="J75" s="7">
        <v>41.172256</v>
      </c>
      <c r="K75" s="7">
        <v>17.67267</v>
      </c>
      <c r="L75" s="4">
        <v>0.9782482941429378</v>
      </c>
      <c r="M75" s="4">
        <v>0.3673</v>
      </c>
      <c r="N75" s="4">
        <v>0.0958</v>
      </c>
      <c r="O75" s="3" t="s">
        <v>144</v>
      </c>
      <c r="P75" s="5">
        <v>88</v>
      </c>
      <c r="Q75" s="5">
        <v>165.47368</v>
      </c>
      <c r="R75" s="5">
        <v>169</v>
      </c>
      <c r="S75" s="5">
        <v>200</v>
      </c>
      <c r="T75" s="7">
        <v>0.82</v>
      </c>
      <c r="U75" s="7">
        <v>6.9733</v>
      </c>
      <c r="V75" s="7">
        <v>7.64146</v>
      </c>
    </row>
    <row r="76" spans="1:22" ht="18" customHeight="1">
      <c r="A76" s="3" t="s">
        <v>145</v>
      </c>
      <c r="B76" s="4">
        <v>0.00131955</v>
      </c>
      <c r="C76" s="4">
        <v>0.06757718226821408</v>
      </c>
      <c r="D76" s="4">
        <v>-0.04183113597197197</v>
      </c>
      <c r="E76" s="4">
        <v>0.1072666819405732</v>
      </c>
      <c r="F76" s="4">
        <v>0.1089917407731806</v>
      </c>
      <c r="G76" s="4">
        <v>0.2420707496659622</v>
      </c>
      <c r="H76" s="15"/>
      <c r="I76" s="6">
        <v>112.7149963378906</v>
      </c>
      <c r="J76" s="7">
        <v>22.588177</v>
      </c>
      <c r="K76" s="7">
        <v>18.773912</v>
      </c>
      <c r="L76" s="4">
        <v>0.1602382921756431</v>
      </c>
      <c r="M76" s="4">
        <v>0.0619</v>
      </c>
      <c r="N76" s="4">
        <v>0.07290000000000001</v>
      </c>
      <c r="O76" s="3" t="s">
        <v>145</v>
      </c>
      <c r="P76" s="5">
        <v>108</v>
      </c>
      <c r="Q76" s="5">
        <v>124.80556</v>
      </c>
      <c r="R76" s="5">
        <v>125</v>
      </c>
      <c r="S76" s="5">
        <v>140</v>
      </c>
      <c r="T76" s="7">
        <v>4.81</v>
      </c>
      <c r="U76" s="7">
        <v>5.59444</v>
      </c>
      <c r="V76" s="7">
        <v>6.01375</v>
      </c>
    </row>
    <row r="77" spans="1:22" ht="18" customHeight="1">
      <c r="A77" s="3" t="s">
        <v>146</v>
      </c>
      <c r="B77" s="4">
        <v>0.00130497</v>
      </c>
      <c r="C77" s="4">
        <v>0.09677270159040008</v>
      </c>
      <c r="D77" s="4">
        <v>-0.02947091876821173</v>
      </c>
      <c r="E77" s="4">
        <v>0.09628361157432175</v>
      </c>
      <c r="F77" s="4">
        <v>0.1125577272657086</v>
      </c>
      <c r="G77" s="4">
        <v>0.1835720502826688</v>
      </c>
      <c r="H77" s="15"/>
      <c r="I77" s="6">
        <v>42.24499893188477</v>
      </c>
      <c r="J77" s="7">
        <v>25.917177</v>
      </c>
      <c r="K77" s="7">
        <v>20.285616</v>
      </c>
      <c r="L77" s="4">
        <v>0.2468650521344715</v>
      </c>
      <c r="M77" s="4">
        <v>0.08459999999999999</v>
      </c>
      <c r="N77" s="4">
        <v>0.09090000400000001</v>
      </c>
      <c r="O77" s="3" t="s">
        <v>146</v>
      </c>
      <c r="P77" s="5">
        <v>41</v>
      </c>
      <c r="Q77" s="5">
        <v>46.3125</v>
      </c>
      <c r="R77" s="5">
        <v>47</v>
      </c>
      <c r="S77" s="5">
        <v>50</v>
      </c>
      <c r="T77" s="7">
        <v>1.6</v>
      </c>
      <c r="U77" s="7">
        <v>1.90897</v>
      </c>
      <c r="V77" s="7">
        <v>2.08251</v>
      </c>
    </row>
    <row r="78" spans="1:22" ht="18" customHeight="1">
      <c r="A78" s="3" t="s">
        <v>147</v>
      </c>
      <c r="B78" s="4">
        <v>0.00125609</v>
      </c>
      <c r="C78" s="4">
        <v>0.1650966672017207</v>
      </c>
      <c r="D78" s="4">
        <v>-0.1014438595310085</v>
      </c>
      <c r="E78" s="4">
        <v>0.05181121110365572</v>
      </c>
      <c r="F78" s="4">
        <v>0.08446430746257594</v>
      </c>
      <c r="G78" s="4">
        <v>0.1898122687589405</v>
      </c>
      <c r="H78" s="15"/>
      <c r="I78" s="6">
        <v>161.3699951171875</v>
      </c>
      <c r="J78" s="7">
        <v>16.915094</v>
      </c>
      <c r="K78" s="7">
        <v>13.668334</v>
      </c>
      <c r="L78" s="4">
        <v>0.3627132660456964</v>
      </c>
      <c r="M78" s="4">
        <v>0.2344</v>
      </c>
      <c r="N78" s="4">
        <v>0.09429999999999999</v>
      </c>
      <c r="O78" s="3" t="s">
        <v>147</v>
      </c>
      <c r="P78" s="5">
        <v>145</v>
      </c>
      <c r="Q78" s="5">
        <v>169.73077</v>
      </c>
      <c r="R78" s="5">
        <v>175</v>
      </c>
      <c r="S78" s="5">
        <v>192</v>
      </c>
      <c r="T78" s="7">
        <v>8.74</v>
      </c>
      <c r="U78" s="7">
        <v>11.20353</v>
      </c>
      <c r="V78" s="7">
        <v>11.70462</v>
      </c>
    </row>
    <row r="79" spans="1:22" ht="18" customHeight="1">
      <c r="A79" s="3" t="s">
        <v>148</v>
      </c>
      <c r="B79" s="4">
        <v>0.00123579</v>
      </c>
      <c r="C79" s="4">
        <v>0.4740797044451934</v>
      </c>
      <c r="D79" s="4">
        <v>-0.606501605366791</v>
      </c>
      <c r="E79" s="4">
        <v>-0.009836606481063326</v>
      </c>
      <c r="F79" s="4">
        <v>-0.0006614977794943133</v>
      </c>
      <c r="G79" s="4">
        <v>0.2474012509986454</v>
      </c>
      <c r="H79" s="15"/>
      <c r="I79" s="6">
        <v>211.6399993896484</v>
      </c>
      <c r="J79" s="9" t="s">
        <v>79</v>
      </c>
      <c r="K79" s="7">
        <v>19.809801</v>
      </c>
      <c r="L79" s="4">
        <v>0.6939441604260166</v>
      </c>
      <c r="M79" s="4">
        <v>0.153227005</v>
      </c>
      <c r="N79" s="4">
        <v>-0.0574</v>
      </c>
      <c r="O79" s="3" t="s">
        <v>148</v>
      </c>
      <c r="P79" s="5">
        <v>83.28</v>
      </c>
      <c r="Q79" s="5">
        <v>209.55818</v>
      </c>
      <c r="R79" s="5">
        <v>211.5</v>
      </c>
      <c r="S79" s="5">
        <v>264</v>
      </c>
      <c r="T79" s="7">
        <v>-11.2</v>
      </c>
      <c r="U79" s="7">
        <v>11.31496</v>
      </c>
      <c r="V79" s="7">
        <v>10.66518</v>
      </c>
    </row>
    <row r="80" spans="1:22" ht="18" customHeight="1">
      <c r="A80" s="3" t="s">
        <v>149</v>
      </c>
      <c r="B80" s="4">
        <v>0.00121646</v>
      </c>
      <c r="C80" s="4">
        <v>0.08102069914727927</v>
      </c>
      <c r="D80" s="4">
        <v>-0.09375518557442342</v>
      </c>
      <c r="E80" s="4">
        <v>0.04505263000936965</v>
      </c>
      <c r="F80" s="4">
        <v>0.05453942042248916</v>
      </c>
      <c r="G80" s="4">
        <v>0.1314329198282957</v>
      </c>
      <c r="H80" s="15"/>
      <c r="I80" s="6">
        <v>182.0700073242188</v>
      </c>
      <c r="J80" s="7">
        <v>22.422415</v>
      </c>
      <c r="K80" s="7">
        <v>20.499224</v>
      </c>
      <c r="L80" s="4">
        <v>0.2394549395395167</v>
      </c>
      <c r="M80" s="4">
        <v>0.1166</v>
      </c>
      <c r="N80" s="4">
        <v>0.066300005</v>
      </c>
      <c r="O80" s="3" t="s">
        <v>149</v>
      </c>
      <c r="P80" s="5">
        <v>165</v>
      </c>
      <c r="Q80" s="5">
        <v>190.27274</v>
      </c>
      <c r="R80" s="5">
        <v>192</v>
      </c>
      <c r="S80" s="5">
        <v>206</v>
      </c>
      <c r="T80" s="7">
        <v>7.46</v>
      </c>
      <c r="U80" s="7">
        <v>8.32978</v>
      </c>
      <c r="V80" s="7">
        <v>8.8818</v>
      </c>
    </row>
    <row r="81" spans="1:22" ht="18" customHeight="1">
      <c r="A81" s="3" t="s">
        <v>150</v>
      </c>
      <c r="B81" s="4">
        <v>0.00117326</v>
      </c>
      <c r="C81" s="4">
        <v>0.03266720481908836</v>
      </c>
      <c r="D81" s="4">
        <v>-0.112963553802479</v>
      </c>
      <c r="E81" s="4">
        <v>0.16165063967626</v>
      </c>
      <c r="F81" s="4">
        <v>0.1488725056172713</v>
      </c>
      <c r="G81" s="4">
        <v>0.3626162275925775</v>
      </c>
      <c r="H81" s="15"/>
      <c r="I81" s="6">
        <v>187.1399993896484</v>
      </c>
      <c r="J81" s="7">
        <v>34.849163</v>
      </c>
      <c r="K81" s="7">
        <v>18.904556</v>
      </c>
      <c r="L81" s="4">
        <v>0.1134971175893118</v>
      </c>
      <c r="M81" s="4">
        <v>0.3346</v>
      </c>
      <c r="N81" s="4">
        <v>0.17549999</v>
      </c>
      <c r="O81" s="3" t="s">
        <v>150</v>
      </c>
      <c r="P81" s="5">
        <v>166</v>
      </c>
      <c r="Q81" s="5">
        <v>217.3913</v>
      </c>
      <c r="R81" s="5">
        <v>215</v>
      </c>
      <c r="S81" s="5">
        <v>255</v>
      </c>
      <c r="T81" s="7">
        <v>4.34</v>
      </c>
      <c r="U81" s="7">
        <v>8.421620000000001</v>
      </c>
      <c r="V81" s="7">
        <v>9.8992</v>
      </c>
    </row>
    <row r="82" spans="1:22" ht="18" customHeight="1">
      <c r="A82" s="3" t="s">
        <v>151</v>
      </c>
      <c r="B82" s="4">
        <v>0.0010956</v>
      </c>
      <c r="C82" s="4">
        <v>-0.1710937434631379</v>
      </c>
      <c r="D82" s="4">
        <v>-0.07579460418621442</v>
      </c>
      <c r="E82" s="4">
        <v>0.3259915310465156</v>
      </c>
      <c r="F82" s="4">
        <v>0.3717153769446713</v>
      </c>
      <c r="G82" s="4">
        <v>0.5760134118087712</v>
      </c>
      <c r="H82" s="15"/>
      <c r="I82" s="6">
        <v>513.9550170898438</v>
      </c>
      <c r="J82" s="7">
        <v>20.029425</v>
      </c>
      <c r="K82" s="7">
        <v>16.242472</v>
      </c>
      <c r="L82" s="4">
        <v>0.4097539486507407</v>
      </c>
      <c r="M82" s="4">
        <v>0.11359999</v>
      </c>
      <c r="N82" s="4">
        <v>0.1082</v>
      </c>
      <c r="O82" s="3" t="s">
        <v>151</v>
      </c>
      <c r="P82" s="5">
        <v>475</v>
      </c>
      <c r="Q82" s="5">
        <v>681.5</v>
      </c>
      <c r="R82" s="5">
        <v>705</v>
      </c>
      <c r="S82" s="5">
        <v>810</v>
      </c>
      <c r="T82" s="7">
        <v>25.34</v>
      </c>
      <c r="U82" s="7">
        <v>28.57157</v>
      </c>
      <c r="V82" s="7">
        <v>31.63745</v>
      </c>
    </row>
    <row r="83" spans="1:22" ht="18" customHeight="1">
      <c r="A83" s="3" t="s">
        <v>152</v>
      </c>
      <c r="B83" s="4">
        <v>0.00106138</v>
      </c>
      <c r="C83" s="4">
        <v>-0.1671470116094989</v>
      </c>
      <c r="D83" s="4">
        <v>-0.3019958741859705</v>
      </c>
      <c r="E83" s="4">
        <v>0.4609917086537141</v>
      </c>
      <c r="F83" s="4">
        <v>0.4614461384231243</v>
      </c>
      <c r="G83" s="4">
        <v>1.108554130063214</v>
      </c>
      <c r="H83" s="15"/>
      <c r="I83" s="6">
        <v>137.5350036621094</v>
      </c>
      <c r="J83" s="7">
        <v>151.13736</v>
      </c>
      <c r="K83" s="7">
        <v>12.0876</v>
      </c>
      <c r="L83" s="4">
        <v>0.740254026734914</v>
      </c>
      <c r="M83" s="4">
        <v>0.0837</v>
      </c>
      <c r="N83" s="4">
        <v>0.2742</v>
      </c>
      <c r="O83" s="3" t="s">
        <v>152</v>
      </c>
      <c r="P83" s="5">
        <v>96</v>
      </c>
      <c r="Q83" s="5">
        <v>200.9375</v>
      </c>
      <c r="R83" s="5">
        <v>201</v>
      </c>
      <c r="S83" s="5">
        <v>290</v>
      </c>
      <c r="T83" s="7">
        <v>4.01</v>
      </c>
      <c r="U83" s="7">
        <v>8.929959999999999</v>
      </c>
      <c r="V83" s="7">
        <v>11.37819</v>
      </c>
    </row>
    <row r="84" spans="1:22" ht="18" customHeight="1">
      <c r="A84" s="3" t="s">
        <v>153</v>
      </c>
      <c r="B84" s="4">
        <v>0.00100085</v>
      </c>
      <c r="C84" s="4">
        <v>-0.08267498370008619</v>
      </c>
      <c r="D84" s="4">
        <v>-0.06826955160766057</v>
      </c>
      <c r="E84" s="4">
        <v>0.2452444249082069</v>
      </c>
      <c r="F84" s="4">
        <v>0.2506448971709254</v>
      </c>
      <c r="G84" s="4">
        <v>0.4382416317465643</v>
      </c>
      <c r="H84" s="15"/>
      <c r="I84" s="6">
        <v>319.8349914550781</v>
      </c>
      <c r="J84" s="7">
        <v>20.768507</v>
      </c>
      <c r="K84" s="7">
        <v>15.547549</v>
      </c>
      <c r="L84" s="4">
        <v>0.8550892333794795</v>
      </c>
      <c r="M84" s="4">
        <v>0.1337</v>
      </c>
      <c r="N84" s="4">
        <v>0.17709999</v>
      </c>
      <c r="O84" s="3" t="s">
        <v>153</v>
      </c>
      <c r="P84" s="5">
        <v>298</v>
      </c>
      <c r="Q84" s="5">
        <v>398.27274</v>
      </c>
      <c r="R84" s="5">
        <v>400</v>
      </c>
      <c r="S84" s="5">
        <v>460</v>
      </c>
      <c r="T84" s="7">
        <v>15.39</v>
      </c>
      <c r="U84" s="7">
        <v>17.44725</v>
      </c>
      <c r="V84" s="7">
        <v>20.5365</v>
      </c>
    </row>
    <row r="85" spans="1:22" ht="18" customHeight="1">
      <c r="A85" s="3" t="s">
        <v>154</v>
      </c>
      <c r="B85" s="4">
        <v>0.00098481</v>
      </c>
      <c r="C85" s="4">
        <v>0.02186218920114613</v>
      </c>
      <c r="D85" s="4">
        <v>-0.3878076782843763</v>
      </c>
      <c r="E85" s="4">
        <v>-0.05225262958171761</v>
      </c>
      <c r="F85" s="4">
        <v>-0.02693641495727184</v>
      </c>
      <c r="G85" s="4">
        <v>0.1663874761108199</v>
      </c>
      <c r="H85" s="15"/>
      <c r="I85" s="6">
        <v>155.1799926757812</v>
      </c>
      <c r="J85" s="7">
        <v>25.069466</v>
      </c>
      <c r="K85" s="7">
        <v>22.770224</v>
      </c>
      <c r="L85" s="4">
        <v>0.3708905563154441</v>
      </c>
      <c r="M85" s="4">
        <v>0.1304</v>
      </c>
      <c r="N85" s="4">
        <v>0.014099999</v>
      </c>
      <c r="O85" s="3" t="s">
        <v>154</v>
      </c>
      <c r="P85" s="5">
        <v>95</v>
      </c>
      <c r="Q85" s="5">
        <v>147.07143</v>
      </c>
      <c r="R85" s="5">
        <v>151</v>
      </c>
      <c r="S85" s="5">
        <v>181</v>
      </c>
      <c r="T85" s="7">
        <v>5.95</v>
      </c>
      <c r="U85" s="7">
        <v>6.75784</v>
      </c>
      <c r="V85" s="7">
        <v>6.91559</v>
      </c>
    </row>
    <row r="86" spans="1:22" ht="18" customHeight="1">
      <c r="A86" s="3" t="s">
        <v>155</v>
      </c>
      <c r="B86" s="4">
        <v>0.00097125</v>
      </c>
      <c r="C86" s="4">
        <v>-8.381830461101636E-05</v>
      </c>
      <c r="D86" s="4">
        <v>0.1043498124762872</v>
      </c>
      <c r="E86" s="4">
        <v>0.1997018544381299</v>
      </c>
      <c r="F86" s="4">
        <v>0.1945008175763923</v>
      </c>
      <c r="G86" s="4">
        <v>0.2621140714014709</v>
      </c>
      <c r="H86" s="15"/>
      <c r="I86" s="6">
        <v>44.36999893188477</v>
      </c>
      <c r="J86" s="7">
        <v>24.11413</v>
      </c>
      <c r="K86" s="7">
        <v>15.059719</v>
      </c>
      <c r="L86" s="4">
        <v>0.1687860262949099</v>
      </c>
      <c r="M86" s="4">
        <v>0.0718</v>
      </c>
      <c r="N86" s="4">
        <v>0.078</v>
      </c>
      <c r="O86" s="3" t="s">
        <v>155</v>
      </c>
      <c r="P86" s="5">
        <v>49</v>
      </c>
      <c r="Q86" s="5">
        <v>53.23077</v>
      </c>
      <c r="R86" s="5">
        <v>53</v>
      </c>
      <c r="S86" s="5">
        <v>56</v>
      </c>
      <c r="T86" s="7">
        <v>1.76</v>
      </c>
      <c r="U86" s="7">
        <v>2.73299</v>
      </c>
      <c r="V86" s="7">
        <v>2.94627</v>
      </c>
    </row>
    <row r="87" spans="1:22" ht="18" customHeight="1">
      <c r="A87" s="3" t="s">
        <v>156</v>
      </c>
      <c r="B87" s="4">
        <v>0.00089361</v>
      </c>
      <c r="C87" s="4">
        <v>0.1376522000597709</v>
      </c>
      <c r="D87" s="4">
        <v>-0.0916772314870945</v>
      </c>
      <c r="E87" s="4">
        <v>0.08033079499692874</v>
      </c>
      <c r="F87" s="4">
        <v>0.09843683634118805</v>
      </c>
      <c r="G87" s="4">
        <v>0.1618081922839489</v>
      </c>
      <c r="H87" s="15"/>
      <c r="I87" s="6">
        <v>47.34000015258789</v>
      </c>
      <c r="J87" s="7">
        <v>23.552238</v>
      </c>
      <c r="K87" s="7">
        <v>21.124405</v>
      </c>
      <c r="L87" s="4">
        <v>0.181000536677127</v>
      </c>
      <c r="M87" s="4">
        <v>0.08220000600000001</v>
      </c>
      <c r="N87" s="4">
        <v>0.089899994</v>
      </c>
      <c r="O87" s="3" t="s">
        <v>156</v>
      </c>
      <c r="P87" s="5">
        <v>43</v>
      </c>
      <c r="Q87" s="5">
        <v>51.14286</v>
      </c>
      <c r="R87" s="5">
        <v>52</v>
      </c>
      <c r="S87" s="5">
        <v>55</v>
      </c>
      <c r="T87" s="7">
        <v>1.95</v>
      </c>
      <c r="U87" s="7">
        <v>2.05616</v>
      </c>
      <c r="V87" s="7">
        <v>2.24101</v>
      </c>
    </row>
    <row r="88" spans="1:22" ht="18" customHeight="1">
      <c r="A88" s="3" t="s">
        <v>157</v>
      </c>
      <c r="B88" s="4">
        <v>0.00088953</v>
      </c>
      <c r="C88" s="4">
        <v>0.1474557463894908</v>
      </c>
      <c r="D88" s="4">
        <v>-0.03794118003261127</v>
      </c>
      <c r="E88" s="4">
        <v>0.08983225699430752</v>
      </c>
      <c r="F88" s="4">
        <v>0.08231617246331235</v>
      </c>
      <c r="G88" s="4">
        <v>0.1905477897096435</v>
      </c>
      <c r="H88" s="15"/>
      <c r="I88" s="6">
        <v>83.15499877929688</v>
      </c>
      <c r="J88" s="7">
        <v>22.115692</v>
      </c>
      <c r="K88" s="7">
        <v>18.280968</v>
      </c>
      <c r="L88" s="4">
        <v>0.2226235286904352</v>
      </c>
      <c r="M88" s="4">
        <v>0.108100004</v>
      </c>
      <c r="N88" s="4">
        <v>0.0718</v>
      </c>
      <c r="O88" s="3" t="s">
        <v>157</v>
      </c>
      <c r="P88" s="5">
        <v>80</v>
      </c>
      <c r="Q88" s="5">
        <v>90.625</v>
      </c>
      <c r="R88" s="5">
        <v>90</v>
      </c>
      <c r="S88" s="5">
        <v>99</v>
      </c>
      <c r="T88" s="7">
        <v>3.66</v>
      </c>
      <c r="U88" s="7">
        <v>4.24415</v>
      </c>
      <c r="V88" s="7">
        <v>4.54872</v>
      </c>
    </row>
    <row r="89" spans="1:22" ht="18" customHeight="1">
      <c r="A89" s="3" t="s">
        <v>158</v>
      </c>
      <c r="B89" s="4">
        <v>0.0008594400000000001</v>
      </c>
      <c r="C89" s="4">
        <v>0.3796977108111304</v>
      </c>
      <c r="D89" s="4">
        <v>-0.08722507899696741</v>
      </c>
      <c r="E89" s="4">
        <v>0.1173624032968157</v>
      </c>
      <c r="F89" s="4">
        <v>0.1409686512537907</v>
      </c>
      <c r="G89" s="4">
        <v>0.1803123978487491</v>
      </c>
      <c r="H89" s="15"/>
      <c r="I89" s="6">
        <v>127.0849990844727</v>
      </c>
      <c r="J89" s="7">
        <v>33.44342</v>
      </c>
      <c r="K89" s="7">
        <v>11.674179</v>
      </c>
      <c r="L89" s="4">
        <v>0.1885233876444128</v>
      </c>
      <c r="M89" s="4">
        <v>0.2458</v>
      </c>
      <c r="N89" s="4">
        <v>0.1543</v>
      </c>
      <c r="O89" s="3" t="s">
        <v>158</v>
      </c>
      <c r="P89" s="5">
        <v>116</v>
      </c>
      <c r="Q89" s="5">
        <v>142</v>
      </c>
      <c r="R89" s="5">
        <v>145</v>
      </c>
      <c r="S89" s="5">
        <v>150</v>
      </c>
      <c r="T89" s="7">
        <v>4.219046</v>
      </c>
      <c r="U89" s="7">
        <v>9.43066</v>
      </c>
      <c r="V89" s="7">
        <v>10.88599</v>
      </c>
    </row>
    <row r="90" spans="1:22" ht="18" customHeight="1">
      <c r="A90" s="3" t="s">
        <v>159</v>
      </c>
      <c r="B90" s="4">
        <v>0.00078711</v>
      </c>
      <c r="C90" s="4">
        <v>-0.2902114208633416</v>
      </c>
      <c r="D90" s="4">
        <v>-0.1173874609586943</v>
      </c>
      <c r="E90" s="4">
        <v>0.3757243031738249</v>
      </c>
      <c r="F90" s="4">
        <v>0.3901147489900563</v>
      </c>
      <c r="G90" s="4">
        <v>0.8203883617726928</v>
      </c>
      <c r="H90" s="15"/>
      <c r="I90" s="6">
        <v>90.63999938964844</v>
      </c>
      <c r="J90" s="7">
        <v>15.259259</v>
      </c>
      <c r="K90" s="7">
        <v>12.271201</v>
      </c>
      <c r="L90" s="4">
        <v>0.6086046838315902</v>
      </c>
      <c r="M90" s="4">
        <v>0.1658</v>
      </c>
      <c r="N90" s="4">
        <v>0.1019</v>
      </c>
      <c r="O90" s="3" t="s">
        <v>159</v>
      </c>
      <c r="P90" s="5">
        <v>80</v>
      </c>
      <c r="Q90" s="5">
        <v>124.69565</v>
      </c>
      <c r="R90" s="5">
        <v>126</v>
      </c>
      <c r="S90" s="5">
        <v>165</v>
      </c>
      <c r="T90" s="7">
        <v>6.22</v>
      </c>
      <c r="U90" s="7">
        <v>6.7034</v>
      </c>
      <c r="V90" s="7">
        <v>7.3864</v>
      </c>
    </row>
    <row r="91" spans="1:22" ht="18" customHeight="1">
      <c r="A91" s="3" t="s">
        <v>160</v>
      </c>
      <c r="B91" s="4">
        <v>0.00074999</v>
      </c>
      <c r="C91" s="4">
        <v>-0.009461789169613155</v>
      </c>
      <c r="D91" s="9" t="s">
        <v>79</v>
      </c>
      <c r="E91" s="9" t="s">
        <v>79</v>
      </c>
      <c r="F91" s="9" t="s">
        <v>79</v>
      </c>
      <c r="G91" s="9" t="s">
        <v>79</v>
      </c>
      <c r="H91" s="15"/>
      <c r="I91" s="6">
        <v>103.6100006103516</v>
      </c>
      <c r="J91" s="7">
        <v>13.181933</v>
      </c>
      <c r="K91" s="7">
        <v>35.727585</v>
      </c>
      <c r="L91" s="4">
        <v>0.2546771270092336</v>
      </c>
      <c r="M91" s="4">
        <v>0.2188</v>
      </c>
      <c r="N91" s="4">
        <v>0.152</v>
      </c>
      <c r="O91" s="3" t="s">
        <v>160</v>
      </c>
      <c r="P91" s="9" t="s">
        <v>79</v>
      </c>
      <c r="Q91" s="9" t="s">
        <v>79</v>
      </c>
      <c r="R91" s="9" t="s">
        <v>79</v>
      </c>
      <c r="S91" s="9" t="s">
        <v>79</v>
      </c>
      <c r="T91" s="7">
        <v>7.97</v>
      </c>
      <c r="U91" s="9" t="s">
        <v>79</v>
      </c>
      <c r="V91" s="9" t="s">
        <v>79</v>
      </c>
    </row>
    <row r="92" spans="1:22" ht="18" customHeight="1">
      <c r="A92" s="3" t="s">
        <v>161</v>
      </c>
      <c r="B92" s="4">
        <v>0.0007340000000000001</v>
      </c>
      <c r="C92" s="4">
        <v>-0.3081214912067147</v>
      </c>
      <c r="D92" s="4">
        <v>0.263573543928924</v>
      </c>
      <c r="E92" s="4">
        <v>0.5078268114511353</v>
      </c>
      <c r="F92" s="4">
        <v>0.5320829220138203</v>
      </c>
      <c r="G92" s="4">
        <v>0.7769002961500493</v>
      </c>
      <c r="H92" s="15"/>
      <c r="I92" s="6">
        <v>126.625</v>
      </c>
      <c r="J92" s="7">
        <v>11.585087</v>
      </c>
      <c r="K92" s="7">
        <v>9.618204</v>
      </c>
      <c r="L92" s="4">
        <v>0.2717369632030018</v>
      </c>
      <c r="M92" s="4">
        <v>0.0276</v>
      </c>
      <c r="N92" s="4">
        <v>0.06850000000000001</v>
      </c>
      <c r="O92" s="3" t="s">
        <v>161</v>
      </c>
      <c r="P92" s="5">
        <v>160</v>
      </c>
      <c r="Q92" s="5">
        <v>190.92857</v>
      </c>
      <c r="R92" s="5">
        <v>194</v>
      </c>
      <c r="S92" s="5">
        <v>225</v>
      </c>
      <c r="T92" s="7">
        <v>11.14</v>
      </c>
      <c r="U92" s="7">
        <v>12.3207</v>
      </c>
      <c r="V92" s="7">
        <v>13.16514</v>
      </c>
    </row>
    <row r="93" spans="1:22" ht="18" customHeight="1">
      <c r="A93" s="3" t="s">
        <v>162</v>
      </c>
      <c r="B93" s="4">
        <v>0.0007062</v>
      </c>
      <c r="C93" s="4">
        <v>-0.1015872824437598</v>
      </c>
      <c r="D93" s="4">
        <v>-0.05401569514639581</v>
      </c>
      <c r="E93" s="4">
        <v>0.2155898317368814</v>
      </c>
      <c r="F93" s="4">
        <v>0.2676189685038295</v>
      </c>
      <c r="G93" s="4">
        <v>0.3622173989891899</v>
      </c>
      <c r="H93" s="15"/>
      <c r="I93" s="6">
        <v>52.85499954223633</v>
      </c>
      <c r="J93" s="7">
        <v>48.490826</v>
      </c>
      <c r="K93" s="7">
        <v>37.905735</v>
      </c>
      <c r="L93" s="4">
        <v>0.3194822304393179</v>
      </c>
      <c r="M93" s="4">
        <v>0.111899994</v>
      </c>
      <c r="N93" s="4">
        <v>0.1197</v>
      </c>
      <c r="O93" s="3" t="s">
        <v>162</v>
      </c>
      <c r="P93" s="5">
        <v>50</v>
      </c>
      <c r="Q93" s="5">
        <v>64.25</v>
      </c>
      <c r="R93" s="5">
        <v>67</v>
      </c>
      <c r="S93" s="5">
        <v>72</v>
      </c>
      <c r="T93" s="7">
        <v>1.09</v>
      </c>
      <c r="U93" s="7">
        <v>1.24532</v>
      </c>
      <c r="V93" s="7">
        <v>1.39438</v>
      </c>
    </row>
    <row r="94" spans="1:22" ht="18" customHeight="1">
      <c r="A94" s="3" t="s">
        <v>163</v>
      </c>
      <c r="B94" s="4">
        <v>0.00066971</v>
      </c>
      <c r="C94" s="4">
        <v>0.1617454027233169</v>
      </c>
      <c r="D94" s="4">
        <v>-0.007625648504489657</v>
      </c>
      <c r="E94" s="4">
        <v>0.1880635747597355</v>
      </c>
      <c r="F94" s="4">
        <v>0.2012952675998283</v>
      </c>
      <c r="G94" s="4">
        <v>0.3057557256519872</v>
      </c>
      <c r="H94" s="15"/>
      <c r="I94" s="6">
        <v>95.73000335693359</v>
      </c>
      <c r="J94" s="9" t="s">
        <v>79</v>
      </c>
      <c r="K94" s="7">
        <v>15.103325</v>
      </c>
      <c r="L94" s="4">
        <v>0.5111207627752992</v>
      </c>
      <c r="M94" s="4">
        <v>0.045100003</v>
      </c>
      <c r="N94" s="4">
        <v>0.094799995</v>
      </c>
      <c r="O94" s="3" t="s">
        <v>163</v>
      </c>
      <c r="P94" s="5">
        <v>95</v>
      </c>
      <c r="Q94" s="5">
        <v>113.73333</v>
      </c>
      <c r="R94" s="5">
        <v>115</v>
      </c>
      <c r="S94" s="5">
        <v>125</v>
      </c>
      <c r="T94" s="7">
        <v>-2.3</v>
      </c>
      <c r="U94" s="7">
        <v>5.78972</v>
      </c>
      <c r="V94" s="7">
        <v>6.33834</v>
      </c>
    </row>
    <row r="95" spans="1:22" ht="18" customHeight="1">
      <c r="A95" s="3" t="s">
        <v>164</v>
      </c>
      <c r="B95" s="4">
        <v>0.00059464</v>
      </c>
      <c r="C95" s="4">
        <v>-0.1062664190611098</v>
      </c>
      <c r="D95" s="4">
        <v>-0.3140243742878699</v>
      </c>
      <c r="E95" s="4">
        <v>0.08231709834580525</v>
      </c>
      <c r="F95" s="4">
        <v>0.06707319555220237</v>
      </c>
      <c r="G95" s="4">
        <v>0.4786585709794806</v>
      </c>
      <c r="H95" s="15"/>
      <c r="I95" s="6">
        <v>65.59999847412109</v>
      </c>
      <c r="J95" s="7">
        <v>15.731414</v>
      </c>
      <c r="K95" s="7">
        <v>12.717146</v>
      </c>
      <c r="L95" s="4">
        <v>0.5056320925444373</v>
      </c>
      <c r="M95" s="4">
        <v>-0.0286</v>
      </c>
      <c r="N95" s="4">
        <v>0.111</v>
      </c>
      <c r="O95" s="3" t="s">
        <v>164</v>
      </c>
      <c r="P95" s="5">
        <v>45</v>
      </c>
      <c r="Q95" s="5">
        <v>71</v>
      </c>
      <c r="R95" s="5">
        <v>70</v>
      </c>
      <c r="S95" s="5">
        <v>97</v>
      </c>
      <c r="T95" s="7">
        <v>4.91</v>
      </c>
      <c r="U95" s="7">
        <v>4.64309</v>
      </c>
      <c r="V95" s="7">
        <v>5.15839</v>
      </c>
    </row>
    <row r="96" spans="1:22" ht="18" customHeight="1">
      <c r="A96" s="3" t="s">
        <v>165</v>
      </c>
      <c r="B96" s="4">
        <v>0.00053673</v>
      </c>
      <c r="C96" s="4">
        <v>-0.05404117119493534</v>
      </c>
      <c r="D96" s="4">
        <v>-0.3596491228070176</v>
      </c>
      <c r="E96" s="4">
        <v>0.2112938596491227</v>
      </c>
      <c r="F96" s="4">
        <v>0.2558479532163742</v>
      </c>
      <c r="G96" s="4">
        <v>0.4035087719298245</v>
      </c>
      <c r="H96" s="15"/>
      <c r="I96" s="6">
        <v>342</v>
      </c>
      <c r="J96" s="7">
        <v>23.265306</v>
      </c>
      <c r="K96" s="7">
        <v>18.966702</v>
      </c>
      <c r="L96" s="4">
        <v>0.5463816440762603</v>
      </c>
      <c r="M96" s="4">
        <v>0.3225</v>
      </c>
      <c r="N96" s="4">
        <v>0.1058</v>
      </c>
      <c r="O96" s="3" t="s">
        <v>165</v>
      </c>
      <c r="P96" s="5">
        <v>219</v>
      </c>
      <c r="Q96" s="5">
        <v>414.2625</v>
      </c>
      <c r="R96" s="5">
        <v>429.5</v>
      </c>
      <c r="S96" s="5">
        <v>480</v>
      </c>
      <c r="T96" s="7">
        <v>11.61</v>
      </c>
      <c r="U96" s="7">
        <v>16.30669</v>
      </c>
      <c r="V96" s="7">
        <v>18.0316</v>
      </c>
    </row>
    <row r="97" spans="1:22" ht="18" customHeight="1">
      <c r="A97" s="3" t="s">
        <v>166</v>
      </c>
      <c r="B97" s="4">
        <v>0.00050394</v>
      </c>
      <c r="C97" s="4">
        <v>0.04401174257406804</v>
      </c>
      <c r="D97" s="4">
        <v>-0.06811703691925097</v>
      </c>
      <c r="E97" s="4">
        <v>0.04429528808413119</v>
      </c>
      <c r="F97" s="4">
        <v>0.03940792035929697</v>
      </c>
      <c r="G97" s="4">
        <v>0.1469328776378449</v>
      </c>
      <c r="H97" s="15"/>
      <c r="I97" s="6">
        <v>27.90049934387207</v>
      </c>
      <c r="J97" s="9" t="s">
        <v>79</v>
      </c>
      <c r="K97" s="7">
        <v>9.403193999999999</v>
      </c>
      <c r="L97" s="4">
        <v>0.5542528726217713</v>
      </c>
      <c r="M97" s="4">
        <v>0.2741</v>
      </c>
      <c r="N97" s="4">
        <v>0.1472</v>
      </c>
      <c r="O97" s="3" t="s">
        <v>166</v>
      </c>
      <c r="P97" s="5">
        <v>26</v>
      </c>
      <c r="Q97" s="5">
        <v>29.13636</v>
      </c>
      <c r="R97" s="5">
        <v>29</v>
      </c>
      <c r="S97" s="5">
        <v>32</v>
      </c>
      <c r="T97" s="7">
        <v>-1.6</v>
      </c>
      <c r="U97" s="7">
        <v>2.58647</v>
      </c>
      <c r="V97" s="7">
        <v>2.96713</v>
      </c>
    </row>
    <row r="98" spans="1:22" ht="18" customHeight="1">
      <c r="A98" s="3" t="s">
        <v>167</v>
      </c>
      <c r="B98" s="4">
        <v>0.00044742</v>
      </c>
      <c r="C98" s="4">
        <v>-0.10596460435907</v>
      </c>
      <c r="D98" s="4">
        <v>0.003961554841338755</v>
      </c>
      <c r="E98" s="4">
        <v>0.2716846180429648</v>
      </c>
      <c r="F98" s="4">
        <v>0.2725891060015888</v>
      </c>
      <c r="G98" s="4">
        <v>0.4923752842236115</v>
      </c>
      <c r="H98" s="15"/>
      <c r="I98" s="6">
        <v>184.2700042724609</v>
      </c>
      <c r="J98" s="7">
        <v>68.50185999999999</v>
      </c>
      <c r="K98" s="7">
        <v>47.947525</v>
      </c>
      <c r="L98" s="4">
        <v>0.4827708952417389</v>
      </c>
      <c r="M98" s="4">
        <v>0.9587</v>
      </c>
      <c r="N98" s="4">
        <v>0.1753</v>
      </c>
      <c r="O98" s="3" t="s">
        <v>167</v>
      </c>
      <c r="P98" s="5">
        <v>185</v>
      </c>
      <c r="Q98" s="5">
        <v>234.33333</v>
      </c>
      <c r="R98" s="5">
        <v>234.5</v>
      </c>
      <c r="S98" s="5">
        <v>275</v>
      </c>
      <c r="T98" s="7">
        <v>0.02</v>
      </c>
      <c r="U98" s="7">
        <v>4.50588</v>
      </c>
      <c r="V98" s="7">
        <v>4.8157</v>
      </c>
    </row>
    <row r="99" spans="1:22" ht="18" customHeight="1">
      <c r="A99" s="3" t="s">
        <v>168</v>
      </c>
      <c r="B99" s="4">
        <v>0.00035088</v>
      </c>
      <c r="C99" s="4">
        <v>0</v>
      </c>
      <c r="D99" s="9" t="s">
        <v>79</v>
      </c>
      <c r="E99" s="9" t="s">
        <v>79</v>
      </c>
      <c r="F99" s="9" t="s">
        <v>79</v>
      </c>
      <c r="G99" s="9" t="s">
        <v>79</v>
      </c>
      <c r="H99" s="15"/>
      <c r="I99" s="6">
        <v>1</v>
      </c>
      <c r="J99" s="9" t="s">
        <v>79</v>
      </c>
      <c r="K99" s="9" t="s">
        <v>79</v>
      </c>
      <c r="L99" s="4">
        <v>0</v>
      </c>
      <c r="M99" s="9" t="s">
        <v>79</v>
      </c>
      <c r="N99" s="9" t="s">
        <v>79</v>
      </c>
      <c r="O99" s="3" t="s">
        <v>168</v>
      </c>
      <c r="P99" s="9" t="s">
        <v>79</v>
      </c>
      <c r="Q99" s="9" t="s">
        <v>79</v>
      </c>
      <c r="R99" s="9" t="s">
        <v>79</v>
      </c>
      <c r="S99" s="9" t="s">
        <v>79</v>
      </c>
      <c r="T99" s="9" t="s">
        <v>79</v>
      </c>
      <c r="U99" s="9" t="s">
        <v>79</v>
      </c>
      <c r="V99" s="9" t="s">
        <v>79</v>
      </c>
    </row>
    <row r="100" spans="1:22" ht="18" customHeight="1">
      <c r="A100" s="3" t="s">
        <v>169</v>
      </c>
      <c r="B100" s="4">
        <v>0.00033766</v>
      </c>
      <c r="C100" s="4">
        <v>-0.09644349873373326</v>
      </c>
      <c r="D100" s="9" t="s">
        <v>79</v>
      </c>
      <c r="E100" s="9" t="s">
        <v>79</v>
      </c>
      <c r="F100" s="9" t="s">
        <v>79</v>
      </c>
      <c r="G100" s="9" t="s">
        <v>79</v>
      </c>
      <c r="H100" s="15"/>
      <c r="I100" s="6">
        <v>59.27999877929688</v>
      </c>
      <c r="J100" s="7">
        <v>14.215827</v>
      </c>
      <c r="K100" s="7">
        <v>11.927566</v>
      </c>
      <c r="L100" s="4">
        <v>0.4185805466881596</v>
      </c>
      <c r="M100" s="4">
        <v>0.2188</v>
      </c>
      <c r="N100" s="4">
        <v>0.152</v>
      </c>
      <c r="O100" s="3" t="s">
        <v>169</v>
      </c>
      <c r="P100" s="9" t="s">
        <v>79</v>
      </c>
      <c r="Q100" s="9" t="s">
        <v>79</v>
      </c>
      <c r="R100" s="9" t="s">
        <v>79</v>
      </c>
      <c r="S100" s="9" t="s">
        <v>79</v>
      </c>
      <c r="T100" s="7">
        <v>4.91</v>
      </c>
      <c r="U100" s="9" t="s">
        <v>79</v>
      </c>
      <c r="V100" s="9" t="s">
        <v>79</v>
      </c>
    </row>
    <row r="101" spans="1:22" ht="18" customHeight="1">
      <c r="A101" s="3" t="s">
        <v>170</v>
      </c>
      <c r="B101" s="4">
        <v>0.00021334</v>
      </c>
      <c r="C101" s="4">
        <v>-0.02534781833103417</v>
      </c>
      <c r="D101" s="4">
        <v>-0.2514970401833796</v>
      </c>
      <c r="E101" s="4">
        <v>0.1290461061041626</v>
      </c>
      <c r="F101" s="4">
        <v>0.1227544397249307</v>
      </c>
      <c r="G101" s="4">
        <v>0.4970059196332408</v>
      </c>
      <c r="H101" s="15"/>
      <c r="I101" s="6">
        <v>40.08000183105469</v>
      </c>
      <c r="J101" s="7">
        <v>26.720001</v>
      </c>
      <c r="K101" s="7">
        <v>8.855874</v>
      </c>
      <c r="L101" s="4">
        <v>0.2655821356941677</v>
      </c>
      <c r="M101" s="4">
        <v>0.018327</v>
      </c>
      <c r="N101" s="4">
        <v>0.71800005</v>
      </c>
      <c r="O101" s="3" t="s">
        <v>170</v>
      </c>
      <c r="P101" s="5">
        <v>30</v>
      </c>
      <c r="Q101" s="5">
        <v>45.25217</v>
      </c>
      <c r="R101" s="5">
        <v>45</v>
      </c>
      <c r="S101" s="5">
        <v>60</v>
      </c>
      <c r="T101" s="7">
        <v>0.79</v>
      </c>
      <c r="U101" s="7">
        <v>2.63439</v>
      </c>
      <c r="V101" s="7">
        <v>4.52581</v>
      </c>
    </row>
    <row r="104" spans="1:22" ht="18" customHeight="1">
      <c r="A104" s="16" t="s">
        <v>171</v>
      </c>
      <c r="B104" s="17">
        <f>SUM(B3:B101)</f>
        <v>0</v>
      </c>
      <c r="C104" s="17">
        <f>SUMPRODUCT(B3:B101,C3:C101)</f>
        <v>0</v>
      </c>
      <c r="D104" s="17">
        <f>SUMPRODUCT(B3:B101,D3:D101)</f>
        <v>0</v>
      </c>
      <c r="E104" s="17">
        <f>SUMPRODUCT(B3:B101,E3:E101)</f>
        <v>0</v>
      </c>
      <c r="F104" s="17">
        <f>SUMPRODUCT(B3:B101,F3:F101)</f>
        <v>0</v>
      </c>
      <c r="G104" s="17">
        <f>SUMPRODUCT(B3:B101,G3:G101)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01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01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14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0.1653</v>
      </c>
      <c r="C3" s="4">
        <v>0.2479030378297702</v>
      </c>
      <c r="D3" s="4">
        <v>-0.1495674300254453</v>
      </c>
      <c r="E3" s="4">
        <v>0.08877129770992354</v>
      </c>
      <c r="F3" s="4">
        <v>0.09414758269720092</v>
      </c>
      <c r="G3" s="4">
        <v>0.3104325699745547</v>
      </c>
      <c r="H3" s="15"/>
      <c r="I3" s="6">
        <v>393</v>
      </c>
      <c r="J3" s="7">
        <v>29.977118</v>
      </c>
      <c r="K3" s="7">
        <v>27.169798</v>
      </c>
      <c r="L3" s="4">
        <v>0.6587965628566954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172</v>
      </c>
      <c r="B4" s="4">
        <v>0.1544</v>
      </c>
      <c r="C4" s="4">
        <v>0.1958057664614377</v>
      </c>
      <c r="D4" s="4">
        <v>-0.2357393563399549</v>
      </c>
      <c r="E4" s="4">
        <v>0.1502730034310162</v>
      </c>
      <c r="F4" s="4">
        <v>0.170389488117074</v>
      </c>
      <c r="G4" s="4">
        <v>0.3660697495372787</v>
      </c>
      <c r="H4" s="15"/>
      <c r="I4" s="6">
        <v>270.8500061035156</v>
      </c>
      <c r="J4" s="7">
        <v>32.35962</v>
      </c>
      <c r="K4" s="7">
        <v>27.439713</v>
      </c>
      <c r="L4" s="4">
        <v>0.04813371194604787</v>
      </c>
      <c r="M4" s="4">
        <v>0.2032</v>
      </c>
      <c r="N4" s="4">
        <v>0.1442</v>
      </c>
      <c r="O4" s="3" t="s">
        <v>172</v>
      </c>
      <c r="P4" s="5">
        <v>207</v>
      </c>
      <c r="Q4" s="5">
        <v>311.55145</v>
      </c>
      <c r="R4" s="5">
        <v>317</v>
      </c>
      <c r="S4" s="5">
        <v>370</v>
      </c>
      <c r="T4" s="7">
        <v>7.17</v>
      </c>
      <c r="U4" s="7">
        <v>8.60388</v>
      </c>
      <c r="V4" s="7">
        <v>9.86961</v>
      </c>
    </row>
    <row r="5" spans="1:22" ht="18" customHeight="1">
      <c r="A5" s="3" t="s">
        <v>72</v>
      </c>
      <c r="B5" s="4">
        <v>0.1465</v>
      </c>
      <c r="C5" s="4">
        <v>0.1692499331760586</v>
      </c>
      <c r="D5" s="4">
        <v>-0.3659446229850603</v>
      </c>
      <c r="E5" s="4">
        <v>0.2190413895613723</v>
      </c>
      <c r="F5" s="4">
        <v>0.2001762493497075</v>
      </c>
      <c r="G5" s="4">
        <v>0.7210074518976937</v>
      </c>
      <c r="H5" s="15"/>
      <c r="I5" s="6">
        <v>220.8009033203125</v>
      </c>
      <c r="J5" s="7">
        <v>44.969635</v>
      </c>
      <c r="K5" s="7">
        <v>19.56428</v>
      </c>
      <c r="L5" s="4">
        <v>0.3487891106312935</v>
      </c>
      <c r="M5" s="4">
        <v>0.7486</v>
      </c>
      <c r="N5" s="4">
        <v>0.3531</v>
      </c>
      <c r="O5" s="3" t="s">
        <v>72</v>
      </c>
      <c r="P5" s="5">
        <v>140</v>
      </c>
      <c r="Q5" s="5">
        <v>269.16544</v>
      </c>
      <c r="R5" s="5">
        <v>265</v>
      </c>
      <c r="S5" s="5">
        <v>380</v>
      </c>
      <c r="T5" s="7">
        <v>4.9</v>
      </c>
      <c r="U5" s="7">
        <v>8.34076</v>
      </c>
      <c r="V5" s="7">
        <v>11.28592</v>
      </c>
    </row>
    <row r="6" spans="1:22" ht="18" customHeight="1">
      <c r="A6" s="3" t="s">
        <v>173</v>
      </c>
      <c r="B6" s="4">
        <v>0.1368</v>
      </c>
      <c r="C6" s="4">
        <v>0.08074904921623327</v>
      </c>
      <c r="D6" s="4">
        <v>-0.2652586850263</v>
      </c>
      <c r="E6" s="4">
        <v>0.04326753159073116</v>
      </c>
      <c r="F6" s="4">
        <v>0.0593944541481255</v>
      </c>
      <c r="G6" s="4">
        <v>0.3669605859975813</v>
      </c>
      <c r="H6" s="15"/>
      <c r="I6" s="6">
        <v>292.6199951171875</v>
      </c>
      <c r="J6" s="7">
        <v>35.383312</v>
      </c>
      <c r="K6" s="7">
        <v>30.609652</v>
      </c>
      <c r="L6" s="4">
        <v>0.1199078603174795</v>
      </c>
      <c r="M6" s="4">
        <v>0.1693</v>
      </c>
      <c r="N6" s="4">
        <v>0.0959</v>
      </c>
      <c r="O6" s="3" t="s">
        <v>173</v>
      </c>
      <c r="P6" s="5">
        <v>215</v>
      </c>
      <c r="Q6" s="5">
        <v>305.28094</v>
      </c>
      <c r="R6" s="5">
        <v>310</v>
      </c>
      <c r="S6" s="5">
        <v>400</v>
      </c>
      <c r="T6" s="7">
        <v>7.46</v>
      </c>
      <c r="U6" s="7">
        <v>8.72795</v>
      </c>
      <c r="V6" s="7">
        <v>9.606960000000001</v>
      </c>
    </row>
    <row r="7" spans="1:22" ht="18" customHeight="1">
      <c r="A7" s="3" t="s">
        <v>174</v>
      </c>
      <c r="B7" s="4">
        <v>0.1362</v>
      </c>
      <c r="C7" s="4">
        <v>0.0148720159379403</v>
      </c>
      <c r="D7" s="4">
        <v>-0.7233281643529816</v>
      </c>
      <c r="E7" s="4">
        <v>-0.07269124500486346</v>
      </c>
      <c r="F7" s="4">
        <v>0.01221403285494516</v>
      </c>
      <c r="G7" s="4">
        <v>0.3496187104732602</v>
      </c>
      <c r="H7" s="15"/>
      <c r="I7" s="6">
        <v>444.5700073242188</v>
      </c>
      <c r="J7" s="7">
        <v>415.4953</v>
      </c>
      <c r="K7" s="7">
        <v>176.84027</v>
      </c>
      <c r="L7" s="4">
        <v>0.185720319205114</v>
      </c>
      <c r="M7" s="4">
        <v>0.2343</v>
      </c>
      <c r="N7" s="4">
        <v>0.22700001</v>
      </c>
      <c r="O7" s="3" t="s">
        <v>174</v>
      </c>
      <c r="P7" s="5">
        <v>123</v>
      </c>
      <c r="Q7" s="5">
        <v>412.25366</v>
      </c>
      <c r="R7" s="5">
        <v>450</v>
      </c>
      <c r="S7" s="5">
        <v>600</v>
      </c>
      <c r="T7" s="7">
        <v>1.08</v>
      </c>
      <c r="U7" s="7">
        <v>2.04894</v>
      </c>
      <c r="V7" s="7">
        <v>2.51402</v>
      </c>
    </row>
    <row r="8" spans="1:22" ht="18" customHeight="1">
      <c r="A8" s="3" t="s">
        <v>175</v>
      </c>
      <c r="B8" s="4">
        <v>0.1325</v>
      </c>
      <c r="C8" s="4">
        <v>-0.1272891028958918</v>
      </c>
      <c r="D8" s="4">
        <v>-0.02865465794744304</v>
      </c>
      <c r="E8" s="4">
        <v>0.3636622550904998</v>
      </c>
      <c r="F8" s="4">
        <v>0.3659543872614082</v>
      </c>
      <c r="G8" s="4">
        <v>1.112676118964311</v>
      </c>
      <c r="H8" s="15"/>
      <c r="I8" s="6">
        <v>411.7999877929688</v>
      </c>
      <c r="J8" s="7">
        <v>24.555754</v>
      </c>
      <c r="K8" s="7">
        <v>21.27666</v>
      </c>
      <c r="L8" s="4">
        <v>0.163905583263027</v>
      </c>
      <c r="M8" s="4">
        <v>0.2354</v>
      </c>
      <c r="N8" s="4">
        <v>0.1486</v>
      </c>
      <c r="O8" s="3" t="s">
        <v>175</v>
      </c>
      <c r="P8" s="5">
        <v>400</v>
      </c>
      <c r="Q8" s="5">
        <v>561.5561</v>
      </c>
      <c r="R8" s="5">
        <v>562.5</v>
      </c>
      <c r="S8" s="5">
        <v>870</v>
      </c>
      <c r="T8" s="7">
        <v>13.64</v>
      </c>
      <c r="U8" s="7">
        <v>16.85079</v>
      </c>
      <c r="V8" s="7">
        <v>19.35454</v>
      </c>
    </row>
    <row r="9" spans="1:22" ht="18" customHeight="1">
      <c r="A9" s="3" t="s">
        <v>176</v>
      </c>
      <c r="B9" s="4">
        <v>0.1267</v>
      </c>
      <c r="C9" s="4">
        <v>-0.07274494019601963</v>
      </c>
      <c r="D9" s="4">
        <v>0.01895181152091463</v>
      </c>
      <c r="E9" s="4">
        <v>0.3719191087558777</v>
      </c>
      <c r="F9" s="4">
        <v>0.3691127760663755</v>
      </c>
      <c r="G9" s="4">
        <v>0.6844235972210559</v>
      </c>
      <c r="H9" s="15"/>
      <c r="I9" s="6">
        <v>602.5800170898438</v>
      </c>
      <c r="J9" s="7">
        <v>21.922337</v>
      </c>
      <c r="K9" s="7">
        <v>16.654112</v>
      </c>
      <c r="L9" s="4">
        <v>0.105018706445581</v>
      </c>
      <c r="M9" s="4">
        <v>0.0789</v>
      </c>
      <c r="N9" s="4">
        <v>0.1302</v>
      </c>
      <c r="O9" s="3" t="s">
        <v>176</v>
      </c>
      <c r="P9" s="5">
        <v>614</v>
      </c>
      <c r="Q9" s="5">
        <v>826.69104</v>
      </c>
      <c r="R9" s="5">
        <v>825</v>
      </c>
      <c r="S9" s="5">
        <v>1015</v>
      </c>
      <c r="T9" s="7">
        <v>23.49</v>
      </c>
      <c r="U9" s="7">
        <v>32.81202</v>
      </c>
      <c r="V9" s="7">
        <v>34.73745</v>
      </c>
    </row>
    <row r="12" spans="1:22" ht="18" customHeight="1">
      <c r="A12" s="16" t="s">
        <v>171</v>
      </c>
      <c r="B12" s="17">
        <f>SUM(B3:B9)</f>
        <v>0</v>
      </c>
      <c r="C12" s="17">
        <f>SUMPRODUCT(B3:B9,C3:C9)</f>
        <v>0</v>
      </c>
      <c r="D12" s="17">
        <f>SUMPRODUCT(B3:B9,D3:D9)</f>
        <v>0</v>
      </c>
      <c r="E12" s="17">
        <f>SUMPRODUCT(B3:B9,E3:E9)</f>
        <v>0</v>
      </c>
      <c r="F12" s="17">
        <f>SUMPRODUCT(B3:B9,F3:F9)</f>
        <v>0</v>
      </c>
      <c r="G12" s="17">
        <f>SUMPRODUCT(B3:B9,G3:G9)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9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9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15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0.192088775</v>
      </c>
      <c r="C3" s="4">
        <v>0.2479030378297702</v>
      </c>
      <c r="D3" s="4">
        <v>-0.1495674300254453</v>
      </c>
      <c r="E3" s="4">
        <v>0.08877129770992354</v>
      </c>
      <c r="F3" s="4">
        <v>0.09414758269720092</v>
      </c>
      <c r="G3" s="4">
        <v>0.3104325699745547</v>
      </c>
      <c r="H3" s="15"/>
      <c r="I3" s="6">
        <v>393</v>
      </c>
      <c r="J3" s="7">
        <v>29.976355</v>
      </c>
      <c r="K3" s="7">
        <v>27.169107</v>
      </c>
      <c r="L3" s="4">
        <v>0.6587965628566954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172</v>
      </c>
      <c r="B4" s="4">
        <v>0.177140119</v>
      </c>
      <c r="C4" s="4">
        <v>0.1958057664614377</v>
      </c>
      <c r="D4" s="4">
        <v>-0.2357393563399549</v>
      </c>
      <c r="E4" s="4">
        <v>0.1502730034310162</v>
      </c>
      <c r="F4" s="4">
        <v>0.170389488117074</v>
      </c>
      <c r="G4" s="4">
        <v>0.3660697495372787</v>
      </c>
      <c r="H4" s="15"/>
      <c r="I4" s="6">
        <v>270.8500061035156</v>
      </c>
      <c r="J4" s="7">
        <v>32.3632</v>
      </c>
      <c r="K4" s="7">
        <v>27.44275</v>
      </c>
      <c r="L4" s="4">
        <v>0.04813371194604787</v>
      </c>
      <c r="M4" s="4">
        <v>0.2032</v>
      </c>
      <c r="N4" s="4">
        <v>0.1442</v>
      </c>
      <c r="O4" s="3" t="s">
        <v>172</v>
      </c>
      <c r="P4" s="5">
        <v>207</v>
      </c>
      <c r="Q4" s="5">
        <v>311.55145</v>
      </c>
      <c r="R4" s="5">
        <v>317</v>
      </c>
      <c r="S4" s="5">
        <v>370</v>
      </c>
      <c r="T4" s="7">
        <v>7.17</v>
      </c>
      <c r="U4" s="7">
        <v>8.60388</v>
      </c>
      <c r="V4" s="7">
        <v>9.86961</v>
      </c>
    </row>
    <row r="5" spans="1:22" ht="18" customHeight="1">
      <c r="A5" s="3" t="s">
        <v>173</v>
      </c>
      <c r="B5" s="4">
        <v>0.177</v>
      </c>
      <c r="C5" s="4">
        <v>0.08074904921623327</v>
      </c>
      <c r="D5" s="4">
        <v>-0.2652586850263</v>
      </c>
      <c r="E5" s="4">
        <v>0.04326753159073116</v>
      </c>
      <c r="F5" s="4">
        <v>0.0593944541481255</v>
      </c>
      <c r="G5" s="4">
        <v>0.3669605859975813</v>
      </c>
      <c r="H5" s="15"/>
      <c r="I5" s="6">
        <v>292.6199951171875</v>
      </c>
      <c r="J5" s="7">
        <v>35.3815</v>
      </c>
      <c r="K5" s="7">
        <v>30.608084</v>
      </c>
      <c r="L5" s="4">
        <v>0.1199078603174795</v>
      </c>
      <c r="M5" s="4">
        <v>0.1693</v>
      </c>
      <c r="N5" s="4">
        <v>0.0959</v>
      </c>
      <c r="O5" s="3" t="s">
        <v>173</v>
      </c>
      <c r="P5" s="5">
        <v>215</v>
      </c>
      <c r="Q5" s="5">
        <v>305.28094</v>
      </c>
      <c r="R5" s="5">
        <v>310</v>
      </c>
      <c r="S5" s="5">
        <v>400</v>
      </c>
      <c r="T5" s="7">
        <v>7.46</v>
      </c>
      <c r="U5" s="7">
        <v>8.72795</v>
      </c>
      <c r="V5" s="7">
        <v>9.606960000000001</v>
      </c>
    </row>
    <row r="6" spans="1:22" ht="18" customHeight="1">
      <c r="A6" s="3" t="s">
        <v>175</v>
      </c>
      <c r="B6" s="4">
        <v>0.160832228</v>
      </c>
      <c r="C6" s="4">
        <v>-0.1272891028958918</v>
      </c>
      <c r="D6" s="4">
        <v>-0.02865465794744304</v>
      </c>
      <c r="E6" s="4">
        <v>0.3636622550904998</v>
      </c>
      <c r="F6" s="4">
        <v>0.3659543872614082</v>
      </c>
      <c r="G6" s="4">
        <v>1.112676118964311</v>
      </c>
      <c r="H6" s="15"/>
      <c r="I6" s="6">
        <v>411.7999877929688</v>
      </c>
      <c r="J6" s="7">
        <v>24.55307</v>
      </c>
      <c r="K6" s="7">
        <v>21.274338</v>
      </c>
      <c r="L6" s="4">
        <v>0.163905583263027</v>
      </c>
      <c r="M6" s="4">
        <v>0.2354</v>
      </c>
      <c r="N6" s="4">
        <v>0.1486</v>
      </c>
      <c r="O6" s="3" t="s">
        <v>175</v>
      </c>
      <c r="P6" s="5">
        <v>400</v>
      </c>
      <c r="Q6" s="5">
        <v>561.5561</v>
      </c>
      <c r="R6" s="5">
        <v>562.5</v>
      </c>
      <c r="S6" s="5">
        <v>870</v>
      </c>
      <c r="T6" s="7">
        <v>13.64</v>
      </c>
      <c r="U6" s="7">
        <v>16.85079</v>
      </c>
      <c r="V6" s="7">
        <v>19.35454</v>
      </c>
    </row>
    <row r="7" spans="1:22" ht="18" customHeight="1">
      <c r="A7" s="3" t="s">
        <v>177</v>
      </c>
      <c r="B7" s="4">
        <v>0.14696763</v>
      </c>
      <c r="C7" s="4">
        <v>-0.06176497691099825</v>
      </c>
      <c r="D7" s="4">
        <v>-0.06290268916264063</v>
      </c>
      <c r="E7" s="4">
        <v>0.3418647805371713</v>
      </c>
      <c r="F7" s="4">
        <v>0.3470773843287041</v>
      </c>
      <c r="G7" s="4">
        <v>0.7734566607597027</v>
      </c>
      <c r="H7" s="15"/>
      <c r="I7" s="6">
        <v>85.37000274658203</v>
      </c>
      <c r="J7" s="7">
        <v>27.538712</v>
      </c>
      <c r="K7" s="7">
        <v>22.22442</v>
      </c>
      <c r="L7" s="4">
        <v>0.05736814830690729</v>
      </c>
      <c r="M7" s="4">
        <v>0.42209998</v>
      </c>
      <c r="N7" s="4">
        <v>0.06760000400000001</v>
      </c>
      <c r="O7" s="3" t="s">
        <v>177</v>
      </c>
      <c r="P7" s="5">
        <v>80</v>
      </c>
      <c r="Q7" s="5">
        <v>114.555</v>
      </c>
      <c r="R7" s="5">
        <v>115</v>
      </c>
      <c r="S7" s="5">
        <v>151.4</v>
      </c>
      <c r="T7" s="7">
        <v>2.53</v>
      </c>
      <c r="U7" s="7">
        <v>3.59407</v>
      </c>
      <c r="V7" s="7">
        <v>3.82945</v>
      </c>
    </row>
    <row r="8" spans="1:22" ht="18" customHeight="1">
      <c r="A8" s="3" t="s">
        <v>176</v>
      </c>
      <c r="B8" s="4">
        <v>0.145700785</v>
      </c>
      <c r="C8" s="4">
        <v>-0.07274494019601963</v>
      </c>
      <c r="D8" s="4">
        <v>0.01895181152091463</v>
      </c>
      <c r="E8" s="4">
        <v>0.3719191087558777</v>
      </c>
      <c r="F8" s="4">
        <v>0.3691127760663755</v>
      </c>
      <c r="G8" s="4">
        <v>0.6844235972210559</v>
      </c>
      <c r="H8" s="15"/>
      <c r="I8" s="6">
        <v>602.5800170898438</v>
      </c>
      <c r="J8" s="7">
        <v>21.923973</v>
      </c>
      <c r="K8" s="7">
        <v>16.655355</v>
      </c>
      <c r="L8" s="4">
        <v>0.105018706445581</v>
      </c>
      <c r="M8" s="4">
        <v>0.0789</v>
      </c>
      <c r="N8" s="4">
        <v>0.1302</v>
      </c>
      <c r="O8" s="3" t="s">
        <v>176</v>
      </c>
      <c r="P8" s="5">
        <v>614</v>
      </c>
      <c r="Q8" s="5">
        <v>826.69104</v>
      </c>
      <c r="R8" s="5">
        <v>825</v>
      </c>
      <c r="S8" s="5">
        <v>1015</v>
      </c>
      <c r="T8" s="7">
        <v>23.49</v>
      </c>
      <c r="U8" s="7">
        <v>32.81202</v>
      </c>
      <c r="V8" s="7">
        <v>34.73745</v>
      </c>
    </row>
    <row r="11" spans="1:22" ht="18" customHeight="1">
      <c r="A11" s="16" t="s">
        <v>171</v>
      </c>
      <c r="B11" s="17">
        <f>SUM(B3:B8)</f>
        <v>0</v>
      </c>
      <c r="C11" s="17">
        <f>SUMPRODUCT(B3:B8,C3:C8)</f>
        <v>0</v>
      </c>
      <c r="D11" s="17">
        <f>SUMPRODUCT(B3:B8,D3:D8)</f>
        <v>0</v>
      </c>
      <c r="E11" s="17">
        <f>SUMPRODUCT(B3:B8,E3:E8)</f>
        <v>0</v>
      </c>
      <c r="F11" s="17">
        <f>SUMPRODUCT(B3:B8,F3:F8)</f>
        <v>0</v>
      </c>
      <c r="G11" s="17">
        <f>SUMPRODUCT(B3:B8,G3:G8)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8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8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16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0.1853</v>
      </c>
      <c r="C3" s="4">
        <v>0.1692980916633779</v>
      </c>
      <c r="D3" s="4">
        <v>-0.3659707370684162</v>
      </c>
      <c r="E3" s="4">
        <v>0.2189911823561101</v>
      </c>
      <c r="F3" s="4">
        <v>0.2001268191204979</v>
      </c>
      <c r="G3" s="4">
        <v>0.7209365708142987</v>
      </c>
      <c r="H3" s="15"/>
      <c r="I3" s="6">
        <v>220.8099975585938</v>
      </c>
      <c r="J3" s="7">
        <v>44.97149</v>
      </c>
      <c r="K3" s="7">
        <v>19.565086</v>
      </c>
      <c r="L3" s="4">
        <v>0.3487891106312935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74</v>
      </c>
      <c r="B4" s="4">
        <v>0.154</v>
      </c>
      <c r="C4" s="4">
        <v>0.2389147430444727</v>
      </c>
      <c r="D4" s="4">
        <v>-0.162342626980062</v>
      </c>
      <c r="E4" s="4">
        <v>0.1063893760736132</v>
      </c>
      <c r="F4" s="4">
        <v>0.1110594322695011</v>
      </c>
      <c r="G4" s="4">
        <v>0.4659004027848914</v>
      </c>
      <c r="H4" s="15"/>
      <c r="I4" s="6">
        <v>429.7699890136719</v>
      </c>
      <c r="J4" s="7">
        <v>83.93944999999999</v>
      </c>
      <c r="K4" s="7">
        <v>23.720675</v>
      </c>
      <c r="L4" s="4">
        <v>0.5054207913071003</v>
      </c>
      <c r="M4" s="4">
        <v>0.6753</v>
      </c>
      <c r="N4" s="4">
        <v>0.5857</v>
      </c>
      <c r="O4" s="3" t="s">
        <v>74</v>
      </c>
      <c r="P4" s="5">
        <v>360</v>
      </c>
      <c r="Q4" s="5">
        <v>475.49295</v>
      </c>
      <c r="R4" s="5">
        <v>477.5</v>
      </c>
      <c r="S4" s="5">
        <v>630</v>
      </c>
      <c r="T4" s="7">
        <v>4.77</v>
      </c>
      <c r="U4" s="7">
        <v>11.42564</v>
      </c>
      <c r="V4" s="7">
        <v>18.11795</v>
      </c>
    </row>
    <row r="5" spans="1:22" ht="18" customHeight="1">
      <c r="A5" s="3" t="s">
        <v>178</v>
      </c>
      <c r="B5" s="4">
        <v>0.1425</v>
      </c>
      <c r="C5" s="4">
        <v>0.2705361164477373</v>
      </c>
      <c r="D5" s="4">
        <v>-0.1332263503660527</v>
      </c>
      <c r="E5" s="4">
        <v>0.1444657020112887</v>
      </c>
      <c r="F5" s="4">
        <v>0.1668106821995445</v>
      </c>
      <c r="G5" s="4">
        <v>0.481664358348628</v>
      </c>
      <c r="H5" s="15"/>
      <c r="I5" s="6">
        <v>404.9500122070312</v>
      </c>
      <c r="J5" s="7">
        <v>34.639435</v>
      </c>
      <c r="K5" s="7">
        <v>20.989594</v>
      </c>
      <c r="L5" s="4">
        <v>0.5278534831990382</v>
      </c>
      <c r="M5" s="4">
        <v>0.45069999</v>
      </c>
      <c r="N5" s="4">
        <v>0.24870001</v>
      </c>
      <c r="O5" s="3" t="s">
        <v>178</v>
      </c>
      <c r="P5" s="5">
        <v>351</v>
      </c>
      <c r="Q5" s="5">
        <v>463.4514</v>
      </c>
      <c r="R5" s="5">
        <v>472.5</v>
      </c>
      <c r="S5" s="5">
        <v>600</v>
      </c>
      <c r="T5" s="7">
        <v>331.25</v>
      </c>
      <c r="U5" s="7">
        <v>15.4503</v>
      </c>
      <c r="V5" s="7">
        <v>19.29218</v>
      </c>
    </row>
    <row r="6" spans="1:22" ht="18" customHeight="1">
      <c r="A6" s="3" t="s">
        <v>76</v>
      </c>
      <c r="B6" s="4">
        <v>0.1184</v>
      </c>
      <c r="C6" s="4">
        <v>1.09808915196858</v>
      </c>
      <c r="D6" s="4">
        <v>-0.5201125985803852</v>
      </c>
      <c r="E6" s="4">
        <v>-0.05084491339922581</v>
      </c>
      <c r="F6" s="4">
        <v>-0.02956103268477894</v>
      </c>
      <c r="G6" s="4">
        <v>0.3330205594989302</v>
      </c>
      <c r="H6" s="15"/>
      <c r="I6" s="6">
        <v>468.8599853515625</v>
      </c>
      <c r="J6" s="7">
        <v>156.31</v>
      </c>
      <c r="K6" s="7">
        <v>36.34432</v>
      </c>
      <c r="L6" s="4">
        <v>0.7753461704239681</v>
      </c>
      <c r="M6" s="4">
        <v>0.7586000000000001</v>
      </c>
      <c r="N6" s="4">
        <v>0.7594</v>
      </c>
      <c r="O6" s="3" t="s">
        <v>76</v>
      </c>
      <c r="P6" s="5">
        <v>225</v>
      </c>
      <c r="Q6" s="5">
        <v>445.02084</v>
      </c>
      <c r="R6" s="5">
        <v>455</v>
      </c>
      <c r="S6" s="5">
        <v>625</v>
      </c>
      <c r="T6" s="7">
        <v>2.65</v>
      </c>
      <c r="U6" s="7">
        <v>7.3335</v>
      </c>
      <c r="V6" s="7">
        <v>12.90243</v>
      </c>
    </row>
    <row r="7" spans="1:22" ht="18" customHeight="1">
      <c r="A7" s="3" t="s">
        <v>179</v>
      </c>
      <c r="B7" s="4">
        <v>0.0999</v>
      </c>
      <c r="C7" s="4">
        <v>0.348246180125273</v>
      </c>
      <c r="D7" s="4">
        <v>-0.4170052535720038</v>
      </c>
      <c r="E7" s="4">
        <v>0.07382317961952389</v>
      </c>
      <c r="F7" s="4">
        <v>0.122127712884696</v>
      </c>
      <c r="G7" s="4">
        <v>0.2946148306401037</v>
      </c>
      <c r="H7" s="15"/>
      <c r="I7" s="6">
        <v>1563.579956054688</v>
      </c>
      <c r="J7" s="7">
        <v>51.416637</v>
      </c>
      <c r="K7" s="7">
        <v>32.433453</v>
      </c>
      <c r="L7" s="4">
        <v>0.5420507555740988</v>
      </c>
      <c r="M7" s="4">
        <v>0.2711</v>
      </c>
      <c r="N7" s="4">
        <v>0.3022</v>
      </c>
      <c r="O7" s="3" t="s">
        <v>179</v>
      </c>
      <c r="P7" s="5">
        <v>911.5589</v>
      </c>
      <c r="Q7" s="5">
        <v>1679.0084</v>
      </c>
      <c r="R7" s="5">
        <v>1754.5364</v>
      </c>
      <c r="S7" s="5">
        <v>2024.2338</v>
      </c>
      <c r="T7" s="7">
        <v>26.26</v>
      </c>
      <c r="U7" s="7">
        <v>31.40828</v>
      </c>
      <c r="V7" s="7">
        <v>40.90003</v>
      </c>
    </row>
    <row r="8" spans="1:22" ht="18" customHeight="1">
      <c r="A8" s="3" t="s">
        <v>77</v>
      </c>
      <c r="B8" s="4">
        <v>0.05860000000000001</v>
      </c>
      <c r="C8" s="4">
        <v>0.6069158421305545</v>
      </c>
      <c r="D8" s="4">
        <v>-0.2593091100347682</v>
      </c>
      <c r="E8" s="4">
        <v>0.04527897610860476</v>
      </c>
      <c r="F8" s="4">
        <v>0.06053468335930923</v>
      </c>
      <c r="G8" s="4">
        <v>0.2962090574391556</v>
      </c>
      <c r="H8" s="15"/>
      <c r="I8" s="6">
        <v>297.0199890136719</v>
      </c>
      <c r="J8" s="7">
        <v>56.147446</v>
      </c>
      <c r="K8" s="7">
        <v>37.535984</v>
      </c>
      <c r="L8" s="4">
        <v>1.384700031317069</v>
      </c>
      <c r="M8" s="4">
        <v>0.37080002</v>
      </c>
      <c r="N8" s="4">
        <v>0.3944</v>
      </c>
      <c r="O8" s="3" t="s">
        <v>77</v>
      </c>
      <c r="P8" s="5">
        <v>220</v>
      </c>
      <c r="Q8" s="5">
        <v>310.46875</v>
      </c>
      <c r="R8" s="5">
        <v>315</v>
      </c>
      <c r="S8" s="5">
        <v>385</v>
      </c>
      <c r="T8" s="7">
        <v>4.15</v>
      </c>
      <c r="U8" s="7">
        <v>5.675</v>
      </c>
      <c r="V8" s="7">
        <v>7.91294</v>
      </c>
    </row>
    <row r="9" spans="1:22" ht="18" customHeight="1">
      <c r="A9" s="3" t="s">
        <v>83</v>
      </c>
      <c r="B9" s="4">
        <v>0.0551</v>
      </c>
      <c r="C9" s="4">
        <v>0.6610306115514337</v>
      </c>
      <c r="D9" s="4">
        <v>-0.3722606652448005</v>
      </c>
      <c r="E9" s="4">
        <v>-0.01493719967079921</v>
      </c>
      <c r="F9" s="4">
        <v>-0.00234284297834364</v>
      </c>
      <c r="G9" s="4">
        <v>0.2330594075548562</v>
      </c>
      <c r="H9" s="15"/>
      <c r="I9" s="6">
        <v>446.0450134277344</v>
      </c>
      <c r="J9" s="7">
        <v>45.748207</v>
      </c>
      <c r="K9" s="7">
        <v>30.987764</v>
      </c>
      <c r="L9" s="4">
        <v>0.5839538623588496</v>
      </c>
      <c r="M9" s="4">
        <v>0.17959999</v>
      </c>
      <c r="N9" s="4">
        <v>0.2953</v>
      </c>
      <c r="O9" s="3" t="s">
        <v>83</v>
      </c>
      <c r="P9" s="5">
        <v>280</v>
      </c>
      <c r="Q9" s="5">
        <v>439.38235</v>
      </c>
      <c r="R9" s="5">
        <v>445</v>
      </c>
      <c r="S9" s="5">
        <v>550</v>
      </c>
      <c r="T9" s="7">
        <v>8.66</v>
      </c>
      <c r="U9" s="7">
        <v>11.11229</v>
      </c>
      <c r="V9" s="7">
        <v>14.39423</v>
      </c>
    </row>
    <row r="10" spans="1:22" ht="18" customHeight="1">
      <c r="A10" s="3" t="s">
        <v>90</v>
      </c>
      <c r="B10" s="4">
        <v>0.039</v>
      </c>
      <c r="C10" s="4">
        <v>0.4605763798264664</v>
      </c>
      <c r="D10" s="4">
        <v>-0.2469251863694036</v>
      </c>
      <c r="E10" s="4">
        <v>-0.01258164454997501</v>
      </c>
      <c r="F10" s="4">
        <v>0.008582339683834483</v>
      </c>
      <c r="G10" s="4">
        <v>0.1296122204458945</v>
      </c>
      <c r="H10" s="15"/>
      <c r="I10" s="6">
        <v>1859.045043945312</v>
      </c>
      <c r="J10" s="7">
        <v>52.619442</v>
      </c>
      <c r="K10" s="7">
        <v>37.40039</v>
      </c>
      <c r="L10" s="4">
        <v>0.9249564605495981</v>
      </c>
      <c r="M10" s="4">
        <v>0.11399999</v>
      </c>
      <c r="N10" s="4">
        <v>0.34080002</v>
      </c>
      <c r="O10" s="3" t="s">
        <v>90</v>
      </c>
      <c r="P10" s="5">
        <v>1400</v>
      </c>
      <c r="Q10" s="5">
        <v>1835.6552</v>
      </c>
      <c r="R10" s="5">
        <v>1875</v>
      </c>
      <c r="S10" s="5">
        <v>2100</v>
      </c>
      <c r="T10" s="7">
        <v>20.28</v>
      </c>
      <c r="U10" s="7">
        <v>37.0733</v>
      </c>
      <c r="V10" s="7">
        <v>49.70657</v>
      </c>
    </row>
    <row r="11" spans="1:22" ht="18" customHeight="1">
      <c r="A11" s="3" t="s">
        <v>180</v>
      </c>
      <c r="B11" s="4">
        <v>0.0373</v>
      </c>
      <c r="C11" s="4">
        <v>0.3747664259963694</v>
      </c>
      <c r="D11" s="4">
        <v>-0.576791219089392</v>
      </c>
      <c r="E11" s="4">
        <v>-0.2600672268491668</v>
      </c>
      <c r="F11" s="4">
        <v>-0.3228659505430274</v>
      </c>
      <c r="G11" s="4">
        <v>0.2696263427318237</v>
      </c>
      <c r="H11" s="15"/>
      <c r="I11" s="6">
        <v>236.2899932861328</v>
      </c>
      <c r="J11" s="7">
        <v>25.434875</v>
      </c>
      <c r="K11" s="7">
        <v>22.217207</v>
      </c>
      <c r="L11" s="4">
        <v>0.1382383312733473</v>
      </c>
      <c r="M11" s="4">
        <v>-0.1062</v>
      </c>
      <c r="N11" s="4">
        <v>-0.0109</v>
      </c>
      <c r="O11" s="3" t="s">
        <v>180</v>
      </c>
      <c r="P11" s="5">
        <v>100</v>
      </c>
      <c r="Q11" s="5">
        <v>174.83871</v>
      </c>
      <c r="R11" s="5">
        <v>160</v>
      </c>
      <c r="S11" s="5">
        <v>300</v>
      </c>
      <c r="T11" s="7">
        <v>5.01</v>
      </c>
      <c r="U11" s="7">
        <v>10.75261</v>
      </c>
      <c r="V11" s="7">
        <v>10.63545</v>
      </c>
    </row>
    <row r="12" spans="1:22" ht="18" customHeight="1">
      <c r="A12" s="3" t="s">
        <v>181</v>
      </c>
      <c r="B12" s="4">
        <v>0.0361</v>
      </c>
      <c r="C12" s="4">
        <v>0.8669048738283847</v>
      </c>
      <c r="D12" s="4">
        <v>-0.5564685610105067</v>
      </c>
      <c r="E12" s="4">
        <v>0.03726568685565645</v>
      </c>
      <c r="F12" s="4">
        <v>0.1555161173673643</v>
      </c>
      <c r="G12" s="4">
        <v>0.5220131485323665</v>
      </c>
      <c r="H12" s="15"/>
      <c r="I12" s="6">
        <v>214.1900024414062</v>
      </c>
      <c r="J12" s="7">
        <v>251.98824</v>
      </c>
      <c r="K12" s="7">
        <v>70.91914</v>
      </c>
      <c r="L12" s="4">
        <v>-0.1473478926623909</v>
      </c>
      <c r="M12" s="4">
        <v>0.2207</v>
      </c>
      <c r="N12" s="4">
        <v>0.3978</v>
      </c>
      <c r="O12" s="3" t="s">
        <v>181</v>
      </c>
      <c r="P12" s="5">
        <v>95</v>
      </c>
      <c r="Q12" s="5">
        <v>222.17194</v>
      </c>
      <c r="R12" s="5">
        <v>247.5</v>
      </c>
      <c r="S12" s="5">
        <v>326</v>
      </c>
      <c r="T12" s="7">
        <v>0.85</v>
      </c>
      <c r="U12" s="7">
        <v>2.16063</v>
      </c>
      <c r="V12" s="7">
        <v>3.0202</v>
      </c>
    </row>
    <row r="15" spans="1:22" ht="18" customHeight="1">
      <c r="A15" s="16" t="s">
        <v>171</v>
      </c>
      <c r="B15" s="17">
        <f>SUM(B3:B12)</f>
        <v>0</v>
      </c>
      <c r="C15" s="17">
        <f>SUMPRODUCT(B3:B12,C3:C12)</f>
        <v>0</v>
      </c>
      <c r="D15" s="17">
        <f>SUMPRODUCT(B3:B12,D3:D12)</f>
        <v>0</v>
      </c>
      <c r="E15" s="17">
        <f>SUMPRODUCT(B3:B12,E3:E12)</f>
        <v>0</v>
      </c>
      <c r="F15" s="17">
        <f>SUMPRODUCT(B3:B12,F3:F12)</f>
        <v>0</v>
      </c>
      <c r="G15" s="17">
        <f>SUMPRODUCT(B3:B12,G3:G12)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17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73</v>
      </c>
      <c r="B3" s="4">
        <v>0.0977</v>
      </c>
      <c r="C3" s="4">
        <v>1.545247795954505</v>
      </c>
      <c r="D3" s="4">
        <v>-0.6897157559220431</v>
      </c>
      <c r="E3" s="4">
        <v>-0.2848449114830883</v>
      </c>
      <c r="F3" s="4">
        <v>-0.314633195811742</v>
      </c>
      <c r="G3" s="4">
        <v>0.2461214621604693</v>
      </c>
      <c r="H3" s="15"/>
      <c r="I3" s="6">
        <v>802.489990234375</v>
      </c>
      <c r="J3" s="7">
        <v>37.835457</v>
      </c>
      <c r="K3" s="7">
        <v>7.8843923</v>
      </c>
      <c r="L3" s="4">
        <v>2.27888901203893</v>
      </c>
      <c r="M3" s="4">
        <v>0.060095</v>
      </c>
      <c r="N3" s="4">
        <v>0.7516</v>
      </c>
      <c r="O3" s="3" t="s">
        <v>73</v>
      </c>
      <c r="P3" s="5">
        <v>249</v>
      </c>
      <c r="Q3" s="5">
        <v>573.9048</v>
      </c>
      <c r="R3" s="5">
        <v>550</v>
      </c>
      <c r="S3" s="5">
        <v>1000</v>
      </c>
      <c r="T3" s="7">
        <v>7.59</v>
      </c>
      <c r="U3" s="7">
        <v>58.10855</v>
      </c>
      <c r="V3" s="7">
        <v>101.7821</v>
      </c>
    </row>
    <row r="4" spans="1:22" ht="18" customHeight="1">
      <c r="A4" s="3" t="s">
        <v>76</v>
      </c>
      <c r="B4" s="4">
        <v>0.0915</v>
      </c>
      <c r="C4" s="4">
        <v>1.098044496095342</v>
      </c>
      <c r="D4" s="4">
        <v>-0.5201023844066601</v>
      </c>
      <c r="E4" s="4">
        <v>-0.05082471108735453</v>
      </c>
      <c r="F4" s="4">
        <v>-0.02954037735569048</v>
      </c>
      <c r="G4" s="4">
        <v>0.333048932203722</v>
      </c>
      <c r="H4" s="15"/>
      <c r="I4" s="6">
        <v>468.8500061035156</v>
      </c>
      <c r="J4" s="7">
        <v>156.28334</v>
      </c>
      <c r="K4" s="7">
        <v>36.33812</v>
      </c>
      <c r="L4" s="4">
        <v>0.7753461704239681</v>
      </c>
      <c r="M4" s="4">
        <v>0.7586000000000001</v>
      </c>
      <c r="N4" s="4">
        <v>0.7594</v>
      </c>
      <c r="O4" s="3" t="s">
        <v>76</v>
      </c>
      <c r="P4" s="5">
        <v>225</v>
      </c>
      <c r="Q4" s="5">
        <v>445.02084</v>
      </c>
      <c r="R4" s="5">
        <v>455</v>
      </c>
      <c r="S4" s="5">
        <v>625</v>
      </c>
      <c r="T4" s="7">
        <v>2.65</v>
      </c>
      <c r="U4" s="7">
        <v>7.3335</v>
      </c>
      <c r="V4" s="7">
        <v>12.90243</v>
      </c>
    </row>
    <row r="5" spans="1:22" ht="18" customHeight="1">
      <c r="A5" s="3" t="s">
        <v>78</v>
      </c>
      <c r="B5" s="4">
        <v>0.07389999999999999</v>
      </c>
      <c r="C5" s="4">
        <v>2.23311316001744</v>
      </c>
      <c r="D5" s="4">
        <v>-0.839773797919438</v>
      </c>
      <c r="E5" s="4">
        <v>-0.3512409660855675</v>
      </c>
      <c r="F5" s="4">
        <v>-0.3598806142369704</v>
      </c>
      <c r="G5" s="4">
        <v>-0.07320138012223931</v>
      </c>
      <c r="H5" s="15"/>
      <c r="I5" s="6">
        <v>127.3199996948242</v>
      </c>
      <c r="J5" s="9" t="s">
        <v>79</v>
      </c>
      <c r="K5" s="7">
        <v>83.17437</v>
      </c>
      <c r="L5" s="4">
        <v>0.8249259534597484</v>
      </c>
      <c r="M5" s="4">
        <v>0.015855</v>
      </c>
      <c r="N5" s="4">
        <v>0.4129</v>
      </c>
      <c r="O5" s="3" t="s">
        <v>78</v>
      </c>
      <c r="P5" s="5">
        <v>20.4</v>
      </c>
      <c r="Q5" s="5">
        <v>82.59999999999999</v>
      </c>
      <c r="R5" s="5">
        <v>81.5</v>
      </c>
      <c r="S5" s="5">
        <v>118</v>
      </c>
      <c r="T5" s="7">
        <v>-0.06</v>
      </c>
      <c r="U5" s="7">
        <v>1.08591</v>
      </c>
      <c r="V5" s="7">
        <v>1.53433</v>
      </c>
    </row>
    <row r="6" spans="1:22" ht="18" customHeight="1">
      <c r="A6" s="3" t="s">
        <v>74</v>
      </c>
      <c r="B6" s="4">
        <v>0.0726</v>
      </c>
      <c r="C6" s="4">
        <v>0.2391165558939337</v>
      </c>
      <c r="D6" s="4">
        <v>-0.1624790548411192</v>
      </c>
      <c r="E6" s="4">
        <v>0.1062091802788456</v>
      </c>
      <c r="F6" s="4">
        <v>0.11087847587046</v>
      </c>
      <c r="G6" s="4">
        <v>0.4656616540280414</v>
      </c>
      <c r="H6" s="15"/>
      <c r="I6" s="6">
        <v>429.8399963378906</v>
      </c>
      <c r="J6" s="7">
        <v>83.953125</v>
      </c>
      <c r="K6" s="7">
        <v>23.724537</v>
      </c>
      <c r="L6" s="4">
        <v>0.5054207913071003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72</v>
      </c>
      <c r="B7" s="4">
        <v>0.0655</v>
      </c>
      <c r="C7" s="4">
        <v>0.1691392332974893</v>
      </c>
      <c r="D7" s="4">
        <v>-0.3658845874895069</v>
      </c>
      <c r="E7" s="4">
        <v>0.2191568144226312</v>
      </c>
      <c r="F7" s="4">
        <v>0.2002898879662904</v>
      </c>
      <c r="G7" s="4">
        <v>0.721170405385624</v>
      </c>
      <c r="H7" s="15"/>
      <c r="I7" s="6">
        <v>220.7799987792969</v>
      </c>
      <c r="J7" s="7">
        <v>44.965378</v>
      </c>
      <c r="K7" s="7">
        <v>19.562428</v>
      </c>
      <c r="L7" s="4">
        <v>0.3487889617799445</v>
      </c>
      <c r="M7" s="4">
        <v>0.7486</v>
      </c>
      <c r="N7" s="4">
        <v>0.3531</v>
      </c>
      <c r="O7" s="3" t="s">
        <v>72</v>
      </c>
      <c r="P7" s="5">
        <v>140</v>
      </c>
      <c r="Q7" s="5">
        <v>269.16544</v>
      </c>
      <c r="R7" s="5">
        <v>265</v>
      </c>
      <c r="S7" s="5">
        <v>380</v>
      </c>
      <c r="T7" s="7">
        <v>4.9</v>
      </c>
      <c r="U7" s="7">
        <v>8.34076</v>
      </c>
      <c r="V7" s="7">
        <v>11.28592</v>
      </c>
    </row>
    <row r="8" spans="1:22" ht="18" customHeight="1">
      <c r="A8" s="3" t="s">
        <v>182</v>
      </c>
      <c r="B8" s="4">
        <v>0.0562</v>
      </c>
      <c r="C8" s="4">
        <v>0.9120522525423329</v>
      </c>
      <c r="D8" s="4">
        <v>-0.5020795696969811</v>
      </c>
      <c r="E8" s="4">
        <v>-0.2368126361896703</v>
      </c>
      <c r="F8" s="4">
        <v>-0.2597678810252483</v>
      </c>
      <c r="G8" s="4">
        <v>0.1422880459892788</v>
      </c>
      <c r="H8" s="15"/>
      <c r="I8" s="6">
        <v>170.7100067138672</v>
      </c>
      <c r="J8" s="7">
        <v>55.787586</v>
      </c>
      <c r="K8" s="7">
        <v>31.40979</v>
      </c>
      <c r="L8" s="4">
        <v>-0.249332238329024</v>
      </c>
      <c r="M8" s="4">
        <v>0.34919998</v>
      </c>
      <c r="N8" s="4">
        <v>0.4184</v>
      </c>
      <c r="O8" s="3" t="s">
        <v>182</v>
      </c>
      <c r="P8" s="5">
        <v>85</v>
      </c>
      <c r="Q8" s="5">
        <v>130.28372</v>
      </c>
      <c r="R8" s="5">
        <v>126.36503</v>
      </c>
      <c r="S8" s="5">
        <v>195</v>
      </c>
      <c r="T8" s="7">
        <v>3.07</v>
      </c>
      <c r="U8" s="7">
        <v>3.8317</v>
      </c>
      <c r="V8" s="7">
        <v>5.43493</v>
      </c>
    </row>
    <row r="9" spans="1:22" ht="18" customHeight="1">
      <c r="A9" s="3" t="s">
        <v>83</v>
      </c>
      <c r="B9" s="4">
        <v>0.0471</v>
      </c>
      <c r="C9" s="4">
        <v>0.6607139975439118</v>
      </c>
      <c r="D9" s="4">
        <v>-0.3721409871625119</v>
      </c>
      <c r="E9" s="4">
        <v>-0.01474939810994391</v>
      </c>
      <c r="F9" s="4">
        <v>-0.002152640311849252</v>
      </c>
      <c r="G9" s="4">
        <v>0.2332944895022089</v>
      </c>
      <c r="H9" s="15"/>
      <c r="I9" s="6">
        <v>445.9599914550781</v>
      </c>
      <c r="J9" s="7">
        <v>45.739487</v>
      </c>
      <c r="K9" s="7">
        <v>30.98186</v>
      </c>
      <c r="L9" s="4">
        <v>0.5839538623588496</v>
      </c>
      <c r="M9" s="4">
        <v>0.17959999</v>
      </c>
      <c r="N9" s="4">
        <v>0.2953</v>
      </c>
      <c r="O9" s="3" t="s">
        <v>83</v>
      </c>
      <c r="P9" s="5">
        <v>280</v>
      </c>
      <c r="Q9" s="5">
        <v>439.38235</v>
      </c>
      <c r="R9" s="5">
        <v>445</v>
      </c>
      <c r="S9" s="5">
        <v>550</v>
      </c>
      <c r="T9" s="7">
        <v>8.66</v>
      </c>
      <c r="U9" s="7">
        <v>11.11229</v>
      </c>
      <c r="V9" s="7">
        <v>14.39423</v>
      </c>
    </row>
    <row r="10" spans="1:22" ht="18" customHeight="1">
      <c r="A10" s="3" t="s">
        <v>180</v>
      </c>
      <c r="B10" s="4">
        <v>0.0415</v>
      </c>
      <c r="C10" s="4">
        <v>0.3708974071243711</v>
      </c>
      <c r="D10" s="4">
        <v>-0.5755968169761273</v>
      </c>
      <c r="E10" s="4">
        <v>-0.2579789496021221</v>
      </c>
      <c r="F10" s="4">
        <v>-0.3209549071618037</v>
      </c>
      <c r="G10" s="4">
        <v>0.273209549071618</v>
      </c>
      <c r="H10" s="15"/>
      <c r="I10" s="6">
        <v>235.625</v>
      </c>
      <c r="J10" s="7">
        <v>25.363295</v>
      </c>
      <c r="K10" s="7">
        <v>22.15468</v>
      </c>
      <c r="L10" s="4">
        <v>0.1382383312733473</v>
      </c>
      <c r="M10" s="4">
        <v>-0.1062</v>
      </c>
      <c r="N10" s="4">
        <v>-0.0109</v>
      </c>
      <c r="O10" s="3" t="s">
        <v>180</v>
      </c>
      <c r="P10" s="5">
        <v>100</v>
      </c>
      <c r="Q10" s="5">
        <v>174.83871</v>
      </c>
      <c r="R10" s="5">
        <v>160</v>
      </c>
      <c r="S10" s="5">
        <v>300</v>
      </c>
      <c r="T10" s="7">
        <v>5.01</v>
      </c>
      <c r="U10" s="7">
        <v>10.75261</v>
      </c>
      <c r="V10" s="7">
        <v>10.63545</v>
      </c>
    </row>
    <row r="11" spans="1:22" ht="18" customHeight="1">
      <c r="A11" s="3" t="s">
        <v>123</v>
      </c>
      <c r="B11" s="4">
        <v>0.0378</v>
      </c>
      <c r="C11" s="4">
        <v>0.762549629670852</v>
      </c>
      <c r="D11" s="4">
        <v>-0.08925318761384338</v>
      </c>
      <c r="E11" s="4">
        <v>0.09116138433515486</v>
      </c>
      <c r="F11" s="4">
        <v>0.1004857316332726</v>
      </c>
      <c r="G11" s="4">
        <v>0.2143290831815421</v>
      </c>
      <c r="H11" s="15"/>
      <c r="I11" s="6">
        <v>1647</v>
      </c>
      <c r="J11" s="7">
        <v>118.234024</v>
      </c>
      <c r="K11" s="7">
        <v>54.61082</v>
      </c>
      <c r="L11" s="4">
        <v>0.5379549276510605</v>
      </c>
      <c r="M11" s="4">
        <v>0.3518</v>
      </c>
      <c r="N11" s="4">
        <v>0.2555</v>
      </c>
      <c r="O11" s="3" t="s">
        <v>123</v>
      </c>
      <c r="P11" s="5">
        <v>1500</v>
      </c>
      <c r="Q11" s="5">
        <v>1797.1428</v>
      </c>
      <c r="R11" s="5">
        <v>1812.5</v>
      </c>
      <c r="S11" s="5">
        <v>2000</v>
      </c>
      <c r="T11" s="7">
        <v>12.86</v>
      </c>
      <c r="U11" s="7">
        <v>24.02205</v>
      </c>
      <c r="V11" s="7">
        <v>30.15886</v>
      </c>
    </row>
    <row r="12" spans="1:22" ht="18" customHeight="1">
      <c r="A12" s="3" t="s">
        <v>183</v>
      </c>
      <c r="B12" s="4">
        <v>0.0366</v>
      </c>
      <c r="C12" s="4">
        <v>0.6832387063977767</v>
      </c>
      <c r="D12" s="4">
        <v>-0.3228831522963246</v>
      </c>
      <c r="E12" s="4">
        <v>-0.05521039843846542</v>
      </c>
      <c r="F12" s="4">
        <v>-0.05542199745337284</v>
      </c>
      <c r="G12" s="4">
        <v>0.1510986410962483</v>
      </c>
      <c r="H12" s="15"/>
      <c r="I12" s="6">
        <v>295.3699951171875</v>
      </c>
      <c r="J12" s="7">
        <v>50.577053</v>
      </c>
      <c r="K12" s="7">
        <v>32.106308</v>
      </c>
      <c r="L12" s="4">
        <v>-0.04186835892513663</v>
      </c>
      <c r="M12" s="4">
        <v>0.39040002</v>
      </c>
      <c r="N12" s="4">
        <v>0.18370001</v>
      </c>
      <c r="O12" s="3" t="s">
        <v>183</v>
      </c>
      <c r="P12" s="5">
        <v>200</v>
      </c>
      <c r="Q12" s="5">
        <v>279.0625</v>
      </c>
      <c r="R12" s="5">
        <v>279</v>
      </c>
      <c r="S12" s="5">
        <v>340</v>
      </c>
      <c r="T12" s="7">
        <v>5.45</v>
      </c>
      <c r="U12" s="7">
        <v>7.67388</v>
      </c>
      <c r="V12" s="7">
        <v>8.86983</v>
      </c>
    </row>
    <row r="13" spans="1:22" ht="18" customHeight="1">
      <c r="A13" s="3" t="s">
        <v>184</v>
      </c>
      <c r="B13" s="4">
        <v>0.035</v>
      </c>
      <c r="C13" s="4">
        <v>0.369143991370585</v>
      </c>
      <c r="D13" s="4">
        <v>-0.3364299799266424</v>
      </c>
      <c r="E13" s="4">
        <v>-0.01459852019106389</v>
      </c>
      <c r="F13" s="4">
        <v>-0.004644969889963546</v>
      </c>
      <c r="G13" s="4">
        <v>0.1446582846265418</v>
      </c>
      <c r="H13" s="15"/>
      <c r="I13" s="6">
        <v>301.3999938964844</v>
      </c>
      <c r="J13" s="7">
        <v>28.814531</v>
      </c>
      <c r="K13" s="7">
        <v>17.107882</v>
      </c>
      <c r="L13" s="4">
        <v>0.07239398214187198</v>
      </c>
      <c r="M13" s="4">
        <v>0.2494</v>
      </c>
      <c r="N13" s="4">
        <v>0.19389999</v>
      </c>
      <c r="O13" s="3" t="s">
        <v>184</v>
      </c>
      <c r="P13" s="5">
        <v>200</v>
      </c>
      <c r="Q13" s="5">
        <v>297</v>
      </c>
      <c r="R13" s="5">
        <v>300</v>
      </c>
      <c r="S13" s="5">
        <v>345</v>
      </c>
      <c r="T13" s="7">
        <v>7.95</v>
      </c>
      <c r="U13" s="7">
        <v>14.7559</v>
      </c>
      <c r="V13" s="7">
        <v>17.61761</v>
      </c>
    </row>
    <row r="14" spans="1:22" ht="18" customHeight="1">
      <c r="A14" s="3" t="s">
        <v>77</v>
      </c>
      <c r="B14" s="4">
        <v>0.0339</v>
      </c>
      <c r="C14" s="4">
        <v>0.6070241503357514</v>
      </c>
      <c r="D14" s="4">
        <v>-0.2593590301936414</v>
      </c>
      <c r="E14" s="4">
        <v>0.04520852770258132</v>
      </c>
      <c r="F14" s="4">
        <v>0.06046320676819539</v>
      </c>
      <c r="G14" s="4">
        <v>0.2961216971611276</v>
      </c>
      <c r="H14" s="15"/>
      <c r="I14" s="6">
        <v>297.0400085449219</v>
      </c>
      <c r="J14" s="7">
        <v>56.15123</v>
      </c>
      <c r="K14" s="7">
        <v>37.538513</v>
      </c>
      <c r="L14" s="4">
        <v>1.384700031317069</v>
      </c>
      <c r="M14" s="4">
        <v>0.37080002</v>
      </c>
      <c r="N14" s="4">
        <v>0.3944</v>
      </c>
      <c r="O14" s="3" t="s">
        <v>77</v>
      </c>
      <c r="P14" s="5">
        <v>220</v>
      </c>
      <c r="Q14" s="5">
        <v>310.46875</v>
      </c>
      <c r="R14" s="5">
        <v>315</v>
      </c>
      <c r="S14" s="5">
        <v>385</v>
      </c>
      <c r="T14" s="7">
        <v>4.15</v>
      </c>
      <c r="U14" s="7">
        <v>5.675</v>
      </c>
      <c r="V14" s="7">
        <v>7.91294</v>
      </c>
    </row>
    <row r="15" spans="1:22" ht="18" customHeight="1">
      <c r="A15" s="3" t="s">
        <v>90</v>
      </c>
      <c r="B15" s="4">
        <v>0.0331</v>
      </c>
      <c r="C15" s="4">
        <v>0.4615937474854725</v>
      </c>
      <c r="D15" s="4">
        <v>-0.2474493771450675</v>
      </c>
      <c r="E15" s="4">
        <v>-0.01326895420936025</v>
      </c>
      <c r="F15" s="4">
        <v>0.00788029846642746</v>
      </c>
      <c r="G15" s="4">
        <v>0.1288259342823987</v>
      </c>
      <c r="H15" s="15"/>
      <c r="I15" s="6">
        <v>1860.339965820312</v>
      </c>
      <c r="J15" s="7">
        <v>52.656097</v>
      </c>
      <c r="K15" s="7">
        <v>37.42644</v>
      </c>
      <c r="L15" s="4">
        <v>0.9249564605495981</v>
      </c>
      <c r="M15" s="4">
        <v>0.11399999</v>
      </c>
      <c r="N15" s="4">
        <v>0.34080002</v>
      </c>
      <c r="O15" s="3" t="s">
        <v>90</v>
      </c>
      <c r="P15" s="5">
        <v>1400</v>
      </c>
      <c r="Q15" s="5">
        <v>1835.6552</v>
      </c>
      <c r="R15" s="5">
        <v>1875</v>
      </c>
      <c r="S15" s="5">
        <v>2100</v>
      </c>
      <c r="T15" s="7">
        <v>20.28</v>
      </c>
      <c r="U15" s="7">
        <v>37.0733</v>
      </c>
      <c r="V15" s="7">
        <v>49.70657</v>
      </c>
    </row>
    <row r="16" spans="1:22" ht="18" customHeight="1">
      <c r="A16" s="3" t="s">
        <v>100</v>
      </c>
      <c r="B16" s="4">
        <v>0.0316</v>
      </c>
      <c r="C16" s="4">
        <v>0.5330052380284578</v>
      </c>
      <c r="D16" s="4">
        <v>-0.2948235121955418</v>
      </c>
      <c r="E16" s="4">
        <v>-0.05724572876818446</v>
      </c>
      <c r="F16" s="4">
        <v>-0.04382849111259912</v>
      </c>
      <c r="G16" s="4">
        <v>0.1354536668037885</v>
      </c>
      <c r="H16" s="15"/>
      <c r="I16" s="6">
        <v>418.3349914550781</v>
      </c>
      <c r="J16" s="7">
        <v>76.61812999999999</v>
      </c>
      <c r="K16" s="7">
        <v>31.8117</v>
      </c>
      <c r="L16" s="4">
        <v>0.3043408740641875</v>
      </c>
      <c r="M16" s="4">
        <v>0.4721</v>
      </c>
      <c r="N16" s="4">
        <v>0.1467</v>
      </c>
      <c r="O16" s="3" t="s">
        <v>100</v>
      </c>
      <c r="P16" s="5">
        <v>295</v>
      </c>
      <c r="Q16" s="5">
        <v>394.3871</v>
      </c>
      <c r="R16" s="5">
        <v>400</v>
      </c>
      <c r="S16" s="5">
        <v>475</v>
      </c>
      <c r="T16" s="7">
        <v>4.56</v>
      </c>
      <c r="U16" s="7">
        <v>11.46783</v>
      </c>
      <c r="V16" s="7">
        <v>13.15035</v>
      </c>
    </row>
    <row r="17" spans="1:22" ht="18" customHeight="1">
      <c r="A17" s="3" t="s">
        <v>128</v>
      </c>
      <c r="B17" s="4">
        <v>0.0303</v>
      </c>
      <c r="C17" s="4">
        <v>0.7591665847243727</v>
      </c>
      <c r="D17" s="4">
        <v>-0.2602334597164719</v>
      </c>
      <c r="E17" s="4">
        <v>0.01246481691251389</v>
      </c>
      <c r="F17" s="4">
        <v>0.06033204107305679</v>
      </c>
      <c r="G17" s="4">
        <v>0.2877417553083637</v>
      </c>
      <c r="H17" s="15"/>
      <c r="I17" s="6">
        <v>364.9800109863281</v>
      </c>
      <c r="J17" s="7">
        <v>67.58889000000001</v>
      </c>
      <c r="K17" s="7">
        <v>38.36556</v>
      </c>
      <c r="L17" s="4">
        <v>0.5360536956622735</v>
      </c>
      <c r="M17" s="4">
        <v>0.8128</v>
      </c>
      <c r="N17" s="4">
        <v>0.3252</v>
      </c>
      <c r="O17" s="3" t="s">
        <v>128</v>
      </c>
      <c r="P17" s="5">
        <v>270</v>
      </c>
      <c r="Q17" s="5">
        <v>369.52942</v>
      </c>
      <c r="R17" s="5">
        <v>387</v>
      </c>
      <c r="S17" s="5">
        <v>470</v>
      </c>
      <c r="T17" s="7">
        <v>3.47</v>
      </c>
      <c r="U17" s="7">
        <v>7.17873</v>
      </c>
      <c r="V17" s="7">
        <v>9.51322</v>
      </c>
    </row>
    <row r="18" spans="1:22" ht="18" customHeight="1">
      <c r="A18" s="3" t="s">
        <v>185</v>
      </c>
      <c r="B18" s="4">
        <v>0.0293</v>
      </c>
      <c r="C18" s="4">
        <v>0.5084454073170714</v>
      </c>
      <c r="D18" s="4">
        <v>-0.230926962861699</v>
      </c>
      <c r="E18" s="4">
        <v>0.1529942972777409</v>
      </c>
      <c r="F18" s="4">
        <v>0.2305168594212816</v>
      </c>
      <c r="G18" s="4">
        <v>0.3843314668489419</v>
      </c>
      <c r="H18" s="15"/>
      <c r="I18" s="6">
        <v>97.51999664306641</v>
      </c>
      <c r="J18" s="7">
        <v>443.2727</v>
      </c>
      <c r="K18" s="7">
        <v>23.867563</v>
      </c>
      <c r="L18" s="4">
        <v>0.1556102917689925</v>
      </c>
      <c r="M18" s="4">
        <v>0.92660004</v>
      </c>
      <c r="N18" s="4">
        <v>0.2932</v>
      </c>
      <c r="O18" s="3" t="s">
        <v>185</v>
      </c>
      <c r="P18" s="5">
        <v>75</v>
      </c>
      <c r="Q18" s="5">
        <v>112.44</v>
      </c>
      <c r="R18" s="5">
        <v>120</v>
      </c>
      <c r="S18" s="5">
        <v>135</v>
      </c>
      <c r="T18" s="7">
        <v>-0.01</v>
      </c>
      <c r="U18" s="7">
        <v>3.15956</v>
      </c>
      <c r="V18" s="7">
        <v>4.08588</v>
      </c>
    </row>
    <row r="19" spans="1:22" ht="18" customHeight="1">
      <c r="A19" s="3" t="s">
        <v>178</v>
      </c>
      <c r="B19" s="4">
        <v>0.0272</v>
      </c>
      <c r="C19" s="4">
        <v>0.2703949767282243</v>
      </c>
      <c r="D19" s="4">
        <v>-0.1331621348406318</v>
      </c>
      <c r="E19" s="4">
        <v>0.1445504905445028</v>
      </c>
      <c r="F19" s="4">
        <v>0.1668971261760728</v>
      </c>
      <c r="G19" s="4">
        <v>0.4817741284775525</v>
      </c>
      <c r="H19" s="15"/>
      <c r="I19" s="6">
        <v>404.9200134277344</v>
      </c>
      <c r="J19" s="7">
        <v>34.63559</v>
      </c>
      <c r="K19" s="7">
        <v>20.987263</v>
      </c>
      <c r="L19" s="4">
        <v>0.5278536007399635</v>
      </c>
      <c r="M19" s="4">
        <v>0.45069999</v>
      </c>
      <c r="N19" s="4">
        <v>0.24870001</v>
      </c>
      <c r="O19" s="3" t="s">
        <v>178</v>
      </c>
      <c r="P19" s="5">
        <v>351</v>
      </c>
      <c r="Q19" s="5">
        <v>463.4514</v>
      </c>
      <c r="R19" s="5">
        <v>472.5</v>
      </c>
      <c r="S19" s="5">
        <v>600</v>
      </c>
      <c r="T19" s="7">
        <v>331.25</v>
      </c>
      <c r="U19" s="7">
        <v>15.4503</v>
      </c>
      <c r="V19" s="7">
        <v>19.29218</v>
      </c>
    </row>
    <row r="20" spans="1:22" ht="18" customHeight="1">
      <c r="A20" s="3" t="s">
        <v>179</v>
      </c>
      <c r="B20" s="4">
        <v>0.0272</v>
      </c>
      <c r="C20" s="4">
        <v>0.3467200301630136</v>
      </c>
      <c r="D20" s="4">
        <v>-0.4163445836552203</v>
      </c>
      <c r="E20" s="4">
        <v>0.07504007338240282</v>
      </c>
      <c r="F20" s="4">
        <v>0.1233993470241703</v>
      </c>
      <c r="G20" s="4">
        <v>0.2960819331786191</v>
      </c>
      <c r="H20" s="15"/>
      <c r="I20" s="6">
        <v>1561.81005859375</v>
      </c>
      <c r="J20" s="7">
        <v>51.358437</v>
      </c>
      <c r="K20" s="7">
        <v>32.39674</v>
      </c>
      <c r="L20" s="4">
        <v>0.5420507555740988</v>
      </c>
      <c r="M20" s="4">
        <v>0.2711</v>
      </c>
      <c r="N20" s="4">
        <v>0.3022</v>
      </c>
      <c r="O20" s="3" t="s">
        <v>179</v>
      </c>
      <c r="P20" s="5">
        <v>911.5589</v>
      </c>
      <c r="Q20" s="5">
        <v>1679.0084</v>
      </c>
      <c r="R20" s="5">
        <v>1754.5364</v>
      </c>
      <c r="S20" s="5">
        <v>2024.2338</v>
      </c>
      <c r="T20" s="7">
        <v>26.26</v>
      </c>
      <c r="U20" s="7">
        <v>31.40828</v>
      </c>
      <c r="V20" s="7">
        <v>40.90003</v>
      </c>
    </row>
    <row r="21" spans="1:22" ht="18" customHeight="1">
      <c r="A21" s="3" t="s">
        <v>186</v>
      </c>
      <c r="B21" s="4">
        <v>0.0226</v>
      </c>
      <c r="C21" s="4">
        <v>0.8746913005056325</v>
      </c>
      <c r="D21" s="4">
        <v>-0.3602709330506711</v>
      </c>
      <c r="E21" s="4">
        <v>-0.02678129938363361</v>
      </c>
      <c r="F21" s="4">
        <v>-0.0498141799723204</v>
      </c>
      <c r="G21" s="4">
        <v>0.1759725495392075</v>
      </c>
      <c r="H21" s="15"/>
      <c r="I21" s="6">
        <v>106.2949981689453</v>
      </c>
      <c r="J21" s="7">
        <v>78.15809</v>
      </c>
      <c r="K21" s="7">
        <v>24.920874</v>
      </c>
      <c r="L21" s="4">
        <v>-0.1225084697902059</v>
      </c>
      <c r="M21" s="4">
        <v>0.3147</v>
      </c>
      <c r="N21" s="4">
        <v>0.3805</v>
      </c>
      <c r="O21" s="3" t="s">
        <v>186</v>
      </c>
      <c r="P21" s="5">
        <v>68</v>
      </c>
      <c r="Q21" s="5">
        <v>103.44828</v>
      </c>
      <c r="R21" s="5">
        <v>101</v>
      </c>
      <c r="S21" s="5">
        <v>125</v>
      </c>
      <c r="T21" s="7">
        <v>0.29</v>
      </c>
      <c r="U21" s="7">
        <v>3.08965</v>
      </c>
      <c r="V21" s="7">
        <v>4.2653</v>
      </c>
    </row>
    <row r="22" spans="1:22" ht="18" customHeight="1">
      <c r="A22" s="3" t="s">
        <v>187</v>
      </c>
      <c r="B22" s="4">
        <v>0.017</v>
      </c>
      <c r="C22" s="4">
        <v>0.4492493447201416</v>
      </c>
      <c r="D22" s="4">
        <v>-0.1809656135707853</v>
      </c>
      <c r="E22" s="4">
        <v>0.007342725563580732</v>
      </c>
      <c r="F22" s="4">
        <v>-0.0230846909632243</v>
      </c>
      <c r="G22" s="4">
        <v>0.2526408263035047</v>
      </c>
      <c r="H22" s="15"/>
      <c r="I22" s="6">
        <v>207.5614929199219</v>
      </c>
      <c r="J22" s="7">
        <v>113.42158</v>
      </c>
      <c r="K22" s="7">
        <v>37.630627</v>
      </c>
      <c r="L22" s="4">
        <v>1.02861974863334</v>
      </c>
      <c r="M22" s="4">
        <v>0.037322</v>
      </c>
      <c r="N22" s="4">
        <v>0.66510004</v>
      </c>
      <c r="O22" s="3" t="s">
        <v>187</v>
      </c>
      <c r="P22" s="5">
        <v>170</v>
      </c>
      <c r="Q22" s="5">
        <v>209.08556</v>
      </c>
      <c r="R22" s="5">
        <v>202.77</v>
      </c>
      <c r="S22" s="5">
        <v>260</v>
      </c>
      <c r="T22" s="7">
        <v>0.29</v>
      </c>
      <c r="U22" s="7">
        <v>3.31252</v>
      </c>
      <c r="V22" s="7">
        <v>5.51576</v>
      </c>
    </row>
    <row r="23" spans="1:22" ht="18" customHeight="1">
      <c r="A23" s="3" t="s">
        <v>188</v>
      </c>
      <c r="B23" s="4">
        <v>0.0151</v>
      </c>
      <c r="C23" s="4">
        <v>0.1449654663244402</v>
      </c>
      <c r="D23" s="4">
        <v>-0.2536057766201507</v>
      </c>
      <c r="E23" s="4">
        <v>0.1805799929982792</v>
      </c>
      <c r="F23" s="4">
        <v>0.2535293656668329</v>
      </c>
      <c r="G23" s="4">
        <v>0.4458183363225219</v>
      </c>
      <c r="H23" s="15"/>
      <c r="I23" s="6">
        <v>205.4199981689453</v>
      </c>
      <c r="J23" s="7">
        <v>138.79729</v>
      </c>
      <c r="K23" s="7">
        <v>49.184727</v>
      </c>
      <c r="L23" s="4">
        <v>0.2356829427077429</v>
      </c>
      <c r="M23" s="4">
        <v>0.6308</v>
      </c>
      <c r="N23" s="4">
        <v>0.39189997</v>
      </c>
      <c r="O23" s="3" t="s">
        <v>188</v>
      </c>
      <c r="P23" s="5">
        <v>153.3243</v>
      </c>
      <c r="Q23" s="5">
        <v>242.51474</v>
      </c>
      <c r="R23" s="5">
        <v>257.5</v>
      </c>
      <c r="S23" s="5">
        <v>297</v>
      </c>
      <c r="T23" s="7">
        <v>1.22</v>
      </c>
      <c r="U23" s="7">
        <v>3.00062</v>
      </c>
      <c r="V23" s="7">
        <v>4.1765</v>
      </c>
    </row>
    <row r="24" spans="1:22" ht="18" customHeight="1">
      <c r="A24" s="3" t="s">
        <v>189</v>
      </c>
      <c r="B24" s="4">
        <v>0.0135</v>
      </c>
      <c r="C24" s="4">
        <v>1.044838825558192</v>
      </c>
      <c r="D24" s="4">
        <v>-0.03567988519218745</v>
      </c>
      <c r="E24" s="4">
        <v>0.08850374982214815</v>
      </c>
      <c r="F24" s="4">
        <v>0.06913751859127037</v>
      </c>
      <c r="G24" s="4">
        <v>0.2578088454014946</v>
      </c>
      <c r="H24" s="15"/>
      <c r="I24" s="6">
        <v>357.7650146484375</v>
      </c>
      <c r="J24" s="7">
        <v>152.89104</v>
      </c>
      <c r="K24" s="7">
        <v>52.26769</v>
      </c>
      <c r="L24" s="4">
        <v>0.3233408674320859</v>
      </c>
      <c r="M24" s="4">
        <v>0.4483</v>
      </c>
      <c r="N24" s="4">
        <v>0.36200002</v>
      </c>
      <c r="O24" s="3" t="s">
        <v>189</v>
      </c>
      <c r="P24" s="5">
        <v>345</v>
      </c>
      <c r="Q24" s="5">
        <v>389.42856</v>
      </c>
      <c r="R24" s="5">
        <v>382.5</v>
      </c>
      <c r="S24" s="5">
        <v>450</v>
      </c>
      <c r="T24" s="7">
        <v>-0.73</v>
      </c>
      <c r="U24" s="7">
        <v>5.02551</v>
      </c>
      <c r="V24" s="7">
        <v>6.84486</v>
      </c>
    </row>
    <row r="25" spans="1:22" ht="18" customHeight="1">
      <c r="A25" s="3" t="s">
        <v>190</v>
      </c>
      <c r="B25" s="4">
        <v>0.0126</v>
      </c>
      <c r="C25" s="4">
        <v>0.6724857038087515</v>
      </c>
      <c r="D25" s="4">
        <v>-0.2310778157445077</v>
      </c>
      <c r="E25" s="4">
        <v>0.07047340608090713</v>
      </c>
      <c r="F25" s="4">
        <v>0.08652047775232607</v>
      </c>
      <c r="G25" s="4">
        <v>0.3706873719337036</v>
      </c>
      <c r="H25" s="15"/>
      <c r="I25" s="6">
        <v>149.5599975585938</v>
      </c>
      <c r="J25" s="7">
        <v>86.45086999999999</v>
      </c>
      <c r="K25" s="7">
        <v>32.476612</v>
      </c>
      <c r="L25" s="4">
        <v>-0.1296179262053814</v>
      </c>
      <c r="M25" s="4">
        <v>0.32169998</v>
      </c>
      <c r="N25" s="4">
        <v>0.26700002</v>
      </c>
      <c r="O25" s="3" t="s">
        <v>190</v>
      </c>
      <c r="P25" s="5">
        <v>115</v>
      </c>
      <c r="Q25" s="5">
        <v>160.1</v>
      </c>
      <c r="R25" s="5">
        <v>162.5</v>
      </c>
      <c r="S25" s="5">
        <v>205</v>
      </c>
      <c r="T25" s="7">
        <v>1.55</v>
      </c>
      <c r="U25" s="7">
        <v>3.6348</v>
      </c>
      <c r="V25" s="7">
        <v>4.60516</v>
      </c>
    </row>
    <row r="26" spans="1:22" ht="18" customHeight="1">
      <c r="A26" s="3" t="s">
        <v>191</v>
      </c>
      <c r="B26" s="4">
        <v>0.0098</v>
      </c>
      <c r="C26" s="4">
        <v>1.08600218836006</v>
      </c>
      <c r="D26" s="4">
        <v>0.02359971209175571</v>
      </c>
      <c r="E26" s="4">
        <v>0.09887864691802384</v>
      </c>
      <c r="F26" s="4">
        <v>0.05040323921938517</v>
      </c>
      <c r="G26" s="4">
        <v>0.2226329894429304</v>
      </c>
      <c r="H26" s="15"/>
      <c r="I26" s="6">
        <v>35.16999816894531</v>
      </c>
      <c r="J26" s="7">
        <v>54.107693</v>
      </c>
      <c r="K26" s="7">
        <v>22.173744</v>
      </c>
      <c r="L26" s="4">
        <v>0.6645424337649208</v>
      </c>
      <c r="M26" s="4">
        <v>0.89699996</v>
      </c>
      <c r="N26" s="4">
        <v>0.4643</v>
      </c>
      <c r="O26" s="3" t="s">
        <v>191</v>
      </c>
      <c r="P26" s="5">
        <v>36</v>
      </c>
      <c r="Q26" s="5">
        <v>38.64756</v>
      </c>
      <c r="R26" s="5">
        <v>36.94268</v>
      </c>
      <c r="S26" s="5">
        <v>43</v>
      </c>
      <c r="T26" s="7">
        <v>17.78</v>
      </c>
      <c r="U26" s="7">
        <v>1.0832</v>
      </c>
      <c r="V26" s="7">
        <v>1.58611</v>
      </c>
    </row>
    <row r="27" spans="1:22" ht="18" customHeight="1">
      <c r="A27" s="3" t="s">
        <v>192</v>
      </c>
      <c r="B27" s="4">
        <v>0.0092</v>
      </c>
      <c r="C27" s="4">
        <v>0.5129556495256351</v>
      </c>
      <c r="D27" s="4">
        <v>-0.1379802637783515</v>
      </c>
      <c r="E27" s="4">
        <v>-0.0537763491474289</v>
      </c>
      <c r="F27" s="4">
        <v>-0.03902877087873624</v>
      </c>
      <c r="G27" s="4">
        <v>-0.0009705043788841294</v>
      </c>
      <c r="H27" s="15"/>
      <c r="I27" s="6">
        <v>525.510009765625</v>
      </c>
      <c r="J27" s="7">
        <v>66.018845</v>
      </c>
      <c r="K27" s="7">
        <v>42.06452</v>
      </c>
      <c r="L27" s="4">
        <v>0.619040633456025</v>
      </c>
      <c r="M27" s="4">
        <v>0.1983</v>
      </c>
      <c r="N27" s="4">
        <v>0.20950001</v>
      </c>
      <c r="O27" s="3" t="s">
        <v>192</v>
      </c>
      <c r="P27" s="5">
        <v>453</v>
      </c>
      <c r="Q27" s="5">
        <v>497.25</v>
      </c>
      <c r="R27" s="5">
        <v>505</v>
      </c>
      <c r="S27" s="5">
        <v>525</v>
      </c>
      <c r="T27" s="7">
        <v>7.96</v>
      </c>
      <c r="U27" s="7">
        <v>10.32902</v>
      </c>
      <c r="V27" s="7">
        <v>12.49295</v>
      </c>
    </row>
    <row r="28" spans="1:22" ht="18" customHeight="1">
      <c r="A28" s="3" t="s">
        <v>193</v>
      </c>
      <c r="B28" s="4">
        <v>0.0077</v>
      </c>
      <c r="C28" s="4">
        <v>0.3424153458418109</v>
      </c>
      <c r="D28" s="4">
        <v>-0.2496716970201424</v>
      </c>
      <c r="E28" s="4">
        <v>0.04483216189945161</v>
      </c>
      <c r="F28" s="4">
        <v>0.08797603932079356</v>
      </c>
      <c r="G28" s="4">
        <v>0.2905646811253551</v>
      </c>
      <c r="H28" s="15"/>
      <c r="I28" s="6">
        <v>133.2749938964844</v>
      </c>
      <c r="J28" s="7">
        <v>63.76794</v>
      </c>
      <c r="K28" s="7">
        <v>36.726105</v>
      </c>
      <c r="L28" s="4">
        <v>0.7175700820495035</v>
      </c>
      <c r="M28" s="4">
        <v>0.2042</v>
      </c>
      <c r="N28" s="4">
        <v>0.22700001</v>
      </c>
      <c r="O28" s="3" t="s">
        <v>193</v>
      </c>
      <c r="P28" s="5">
        <v>100</v>
      </c>
      <c r="Q28" s="5">
        <v>139.25</v>
      </c>
      <c r="R28" s="5">
        <v>145</v>
      </c>
      <c r="S28" s="5">
        <v>172</v>
      </c>
      <c r="T28" s="7">
        <v>2.11</v>
      </c>
      <c r="U28" s="7">
        <v>2.9575</v>
      </c>
      <c r="V28" s="7">
        <v>3.62889</v>
      </c>
    </row>
    <row r="29" spans="1:22" ht="18" customHeight="1">
      <c r="A29" s="3" t="s">
        <v>194</v>
      </c>
      <c r="B29" s="4">
        <v>0.0067</v>
      </c>
      <c r="C29" s="4">
        <v>1.183041673646553</v>
      </c>
      <c r="D29" s="4">
        <v>-0.449479708090513</v>
      </c>
      <c r="E29" s="4">
        <v>-0.0959333946860591</v>
      </c>
      <c r="F29" s="4">
        <v>-0.102047694598855</v>
      </c>
      <c r="G29" s="4">
        <v>0.5105739717028608</v>
      </c>
      <c r="H29" s="15"/>
      <c r="I29" s="6">
        <v>59.58000183105469</v>
      </c>
      <c r="J29" s="7">
        <v>372.37503</v>
      </c>
      <c r="K29" s="7">
        <v>26.71749</v>
      </c>
      <c r="L29" s="4">
        <v>0.08186117485593791</v>
      </c>
      <c r="M29" s="4">
        <v>1.2887</v>
      </c>
      <c r="N29" s="4">
        <v>0.83839995</v>
      </c>
      <c r="O29" s="3" t="s">
        <v>194</v>
      </c>
      <c r="P29" s="5">
        <v>32.8</v>
      </c>
      <c r="Q29" s="5">
        <v>53.86429</v>
      </c>
      <c r="R29" s="5">
        <v>53.5</v>
      </c>
      <c r="S29" s="5">
        <v>90</v>
      </c>
      <c r="T29" s="7">
        <v>0.18</v>
      </c>
      <c r="U29" s="7">
        <v>1.08</v>
      </c>
      <c r="V29" s="7">
        <v>2.23</v>
      </c>
    </row>
    <row r="30" spans="1:22" ht="18" customHeight="1">
      <c r="A30" s="3" t="s">
        <v>195</v>
      </c>
      <c r="B30" s="4">
        <v>0.0062</v>
      </c>
      <c r="C30" s="4">
        <v>0.9891581586106328</v>
      </c>
      <c r="D30" s="4">
        <v>-0.5254889468873434</v>
      </c>
      <c r="E30" s="4">
        <v>-0.3357063275014779</v>
      </c>
      <c r="F30" s="4">
        <v>-0.34594422408796</v>
      </c>
      <c r="G30" s="4">
        <v>-0.1831452528453832</v>
      </c>
      <c r="H30" s="15"/>
      <c r="I30" s="6">
        <v>15.59500026702881</v>
      </c>
      <c r="J30" s="7">
        <v>24.75397</v>
      </c>
      <c r="K30" s="7">
        <v>19.433264</v>
      </c>
      <c r="L30" s="4">
        <v>0.279801459989121</v>
      </c>
      <c r="M30" s="4">
        <v>0.3024</v>
      </c>
      <c r="N30" s="4">
        <v>0.1582</v>
      </c>
      <c r="O30" s="3" t="s">
        <v>195</v>
      </c>
      <c r="P30" s="5">
        <v>7.4</v>
      </c>
      <c r="Q30" s="5">
        <v>10.35966</v>
      </c>
      <c r="R30" s="5">
        <v>10.2</v>
      </c>
      <c r="S30" s="5">
        <v>12.73885</v>
      </c>
      <c r="T30" s="7">
        <v>16.35</v>
      </c>
      <c r="U30" s="7">
        <v>0.6929</v>
      </c>
      <c r="V30" s="7">
        <v>0.80249</v>
      </c>
    </row>
    <row r="31" spans="1:22" ht="18" customHeight="1">
      <c r="A31" s="3" t="s">
        <v>196</v>
      </c>
      <c r="B31" s="4">
        <v>0.005600000000000001</v>
      </c>
      <c r="C31" s="4">
        <v>0.08100665357117509</v>
      </c>
      <c r="D31" s="4">
        <v>-0.2004651945340308</v>
      </c>
      <c r="E31" s="4">
        <v>0.07803298463484976</v>
      </c>
      <c r="F31" s="4">
        <v>0.04666374533726891</v>
      </c>
      <c r="G31" s="4">
        <v>0.5409216250798681</v>
      </c>
      <c r="H31" s="15"/>
      <c r="I31" s="6">
        <v>68.79000091552734</v>
      </c>
      <c r="J31" s="7">
        <v>28.662498</v>
      </c>
      <c r="K31" s="7">
        <v>13.367691</v>
      </c>
      <c r="L31" s="4">
        <v>-0.2529396653723179</v>
      </c>
      <c r="M31" s="4">
        <v>-0.155</v>
      </c>
      <c r="N31" s="4">
        <v>0.027</v>
      </c>
      <c r="O31" s="3" t="s">
        <v>196</v>
      </c>
      <c r="P31" s="5">
        <v>55</v>
      </c>
      <c r="Q31" s="5">
        <v>74.15788999999999</v>
      </c>
      <c r="R31" s="5">
        <v>72</v>
      </c>
      <c r="S31" s="5">
        <v>106</v>
      </c>
      <c r="T31" s="7">
        <v>3.08</v>
      </c>
      <c r="U31" s="7">
        <v>5.01067</v>
      </c>
      <c r="V31" s="7">
        <v>5.14599</v>
      </c>
    </row>
    <row r="32" spans="1:22" ht="18" customHeight="1">
      <c r="A32" s="3" t="s">
        <v>181</v>
      </c>
      <c r="B32" s="4">
        <v>0.0051</v>
      </c>
      <c r="C32" s="4">
        <v>0.8658589824863074</v>
      </c>
      <c r="D32" s="4">
        <v>-0.5562406614935894</v>
      </c>
      <c r="E32" s="4">
        <v>0.03779866451669411</v>
      </c>
      <c r="F32" s="4">
        <v>0.1561098555824907</v>
      </c>
      <c r="G32" s="4">
        <v>0.5227952037167354</v>
      </c>
      <c r="H32" s="15"/>
      <c r="I32" s="6">
        <v>214.0800018310547</v>
      </c>
      <c r="J32" s="7">
        <v>251.84706</v>
      </c>
      <c r="K32" s="7">
        <v>70.87942</v>
      </c>
      <c r="L32" s="4">
        <v>-0.1473478926623909</v>
      </c>
      <c r="M32" s="4">
        <v>0.2207</v>
      </c>
      <c r="N32" s="4">
        <v>0.3978</v>
      </c>
      <c r="O32" s="3" t="s">
        <v>181</v>
      </c>
      <c r="P32" s="5">
        <v>95</v>
      </c>
      <c r="Q32" s="5">
        <v>222.17194</v>
      </c>
      <c r="R32" s="5">
        <v>247.5</v>
      </c>
      <c r="S32" s="5">
        <v>326</v>
      </c>
      <c r="T32" s="7">
        <v>0.85</v>
      </c>
      <c r="U32" s="7">
        <v>2.16063</v>
      </c>
      <c r="V32" s="7">
        <v>3.0202</v>
      </c>
    </row>
    <row r="35" spans="1:7" ht="18" customHeight="1">
      <c r="A35" s="16" t="s">
        <v>171</v>
      </c>
      <c r="B35" s="17">
        <f>SUM(B3:B32)</f>
        <v>0</v>
      </c>
      <c r="C35" s="17">
        <f>SUMPRODUCT(B3:B32,C3:C32)</f>
        <v>0</v>
      </c>
      <c r="D35" s="17">
        <f>SUMPRODUCT(B3:B32,D3:D32)</f>
        <v>0</v>
      </c>
      <c r="E35" s="17">
        <f>SUMPRODUCT(B3:B32,E3:E32)</f>
        <v>0</v>
      </c>
      <c r="F35" s="17">
        <f>SUMPRODUCT(B3:B32,F3:F32)</f>
        <v>0</v>
      </c>
      <c r="G35" s="17">
        <f>SUMPRODUCT(B3:B32,G3:G32)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3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3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18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73</v>
      </c>
      <c r="B3" s="4">
        <v>0.118</v>
      </c>
      <c r="C3" s="4">
        <v>1.544486617083568</v>
      </c>
      <c r="D3" s="4">
        <v>-0.6896209991766574</v>
      </c>
      <c r="E3" s="4">
        <v>-0.2846265124830512</v>
      </c>
      <c r="F3" s="4">
        <v>-0.3144238937637012</v>
      </c>
      <c r="G3" s="4">
        <v>0.2465020113387253</v>
      </c>
      <c r="H3" s="15"/>
      <c r="I3" s="6">
        <v>802.2449951171875</v>
      </c>
      <c r="J3" s="7">
        <v>37.823906</v>
      </c>
      <c r="K3" s="7">
        <v>7.881985</v>
      </c>
      <c r="L3" s="4">
        <v>2.27888901203893</v>
      </c>
      <c r="M3" s="4">
        <v>0.060095</v>
      </c>
      <c r="N3" s="4">
        <v>0.7516</v>
      </c>
      <c r="O3" s="3" t="s">
        <v>73</v>
      </c>
      <c r="P3" s="5">
        <v>249</v>
      </c>
      <c r="Q3" s="5">
        <v>573.9048</v>
      </c>
      <c r="R3" s="5">
        <v>550</v>
      </c>
      <c r="S3" s="5">
        <v>1000</v>
      </c>
      <c r="T3" s="7">
        <v>7.59</v>
      </c>
      <c r="U3" s="7">
        <v>58.10855</v>
      </c>
      <c r="V3" s="7">
        <v>101.7821</v>
      </c>
    </row>
    <row r="4" spans="1:22" ht="18" customHeight="1">
      <c r="A4" s="3" t="s">
        <v>76</v>
      </c>
      <c r="B4" s="4">
        <v>0.1154</v>
      </c>
      <c r="C4" s="4">
        <v>1.099163214485437</v>
      </c>
      <c r="D4" s="4">
        <v>-0.5202251755670142</v>
      </c>
      <c r="E4" s="4">
        <v>-0.05106757608880041</v>
      </c>
      <c r="F4" s="4">
        <v>-0.02978868836885085</v>
      </c>
      <c r="G4" s="4">
        <v>0.3327078456471828</v>
      </c>
      <c r="H4" s="15"/>
      <c r="I4" s="6">
        <v>468.9700012207031</v>
      </c>
      <c r="J4" s="7">
        <v>156.32533</v>
      </c>
      <c r="K4" s="7">
        <v>36.347885</v>
      </c>
      <c r="L4" s="4">
        <v>0.7753461704239681</v>
      </c>
      <c r="M4" s="4">
        <v>0.7586000000000001</v>
      </c>
      <c r="N4" s="4">
        <v>0.7594</v>
      </c>
      <c r="O4" s="3" t="s">
        <v>76</v>
      </c>
      <c r="P4" s="5">
        <v>225</v>
      </c>
      <c r="Q4" s="5">
        <v>445.02084</v>
      </c>
      <c r="R4" s="5">
        <v>455</v>
      </c>
      <c r="S4" s="5">
        <v>625</v>
      </c>
      <c r="T4" s="7">
        <v>2.65</v>
      </c>
      <c r="U4" s="7">
        <v>7.3335</v>
      </c>
      <c r="V4" s="7">
        <v>12.90243</v>
      </c>
    </row>
    <row r="5" spans="1:22" ht="18" customHeight="1">
      <c r="A5" s="3" t="s">
        <v>78</v>
      </c>
      <c r="B5" s="4">
        <v>0.0935</v>
      </c>
      <c r="C5" s="4">
        <v>2.236414258287933</v>
      </c>
      <c r="D5" s="4">
        <v>-0.8399622210910096</v>
      </c>
      <c r="E5" s="4">
        <v>-0.3520038952018332</v>
      </c>
      <c r="F5" s="4">
        <v>-0.3606333832802591</v>
      </c>
      <c r="G5" s="4">
        <v>-0.07429127885976161</v>
      </c>
      <c r="H5" s="15"/>
      <c r="I5" s="6">
        <v>127.4699020385742</v>
      </c>
      <c r="J5" s="9" t="s">
        <v>79</v>
      </c>
      <c r="K5" s="7">
        <v>83.27229</v>
      </c>
      <c r="L5" s="4">
        <v>0.8249259534597484</v>
      </c>
      <c r="M5" s="4">
        <v>0.015855</v>
      </c>
      <c r="N5" s="4">
        <v>0.4129</v>
      </c>
      <c r="O5" s="3" t="s">
        <v>78</v>
      </c>
      <c r="P5" s="5">
        <v>20.4</v>
      </c>
      <c r="Q5" s="5">
        <v>82.59999999999999</v>
      </c>
      <c r="R5" s="5">
        <v>81.5</v>
      </c>
      <c r="S5" s="5">
        <v>118</v>
      </c>
      <c r="T5" s="7">
        <v>-0.06</v>
      </c>
      <c r="U5" s="7">
        <v>1.08591</v>
      </c>
      <c r="V5" s="7">
        <v>1.53433</v>
      </c>
    </row>
    <row r="6" spans="1:22" ht="18" customHeight="1">
      <c r="A6" s="3" t="s">
        <v>74</v>
      </c>
      <c r="B6" s="4">
        <v>0.0858</v>
      </c>
      <c r="C6" s="4">
        <v>0.2397651897819357</v>
      </c>
      <c r="D6" s="4">
        <v>-0.1629172381934337</v>
      </c>
      <c r="E6" s="4">
        <v>0.1056304216820876</v>
      </c>
      <c r="F6" s="4">
        <v>0.1102972743406538</v>
      </c>
      <c r="G6" s="4">
        <v>0.4648948331614908</v>
      </c>
      <c r="H6" s="15"/>
      <c r="I6" s="6">
        <v>430.0650024414062</v>
      </c>
      <c r="J6" s="7">
        <v>83.99706999999999</v>
      </c>
      <c r="K6" s="7">
        <v>23.736956</v>
      </c>
      <c r="L6" s="4">
        <v>0.5054206911816896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178</v>
      </c>
      <c r="B7" s="4">
        <v>0.0791</v>
      </c>
      <c r="C7" s="4">
        <v>0.271555884434721</v>
      </c>
      <c r="D7" s="4">
        <v>-0.1332049244732526</v>
      </c>
      <c r="E7" s="4">
        <v>0.1444939922107602</v>
      </c>
      <c r="F7" s="4">
        <v>0.1668395247475445</v>
      </c>
      <c r="G7" s="4">
        <v>0.4817009838064057</v>
      </c>
      <c r="H7" s="15"/>
      <c r="I7" s="6">
        <v>404.9400024414062</v>
      </c>
      <c r="J7" s="7">
        <v>34.662106</v>
      </c>
      <c r="K7" s="7">
        <v>21.00333</v>
      </c>
      <c r="L7" s="4">
        <v>0.5278534831990382</v>
      </c>
      <c r="M7" s="4">
        <v>0.45069999</v>
      </c>
      <c r="N7" s="4">
        <v>0.24870001</v>
      </c>
      <c r="O7" s="3" t="s">
        <v>178</v>
      </c>
      <c r="P7" s="5">
        <v>351</v>
      </c>
      <c r="Q7" s="5">
        <v>463.4514</v>
      </c>
      <c r="R7" s="5">
        <v>472.5</v>
      </c>
      <c r="S7" s="5">
        <v>600</v>
      </c>
      <c r="T7" s="7">
        <v>331.25</v>
      </c>
      <c r="U7" s="7">
        <v>15.4503</v>
      </c>
      <c r="V7" s="7">
        <v>19.29218</v>
      </c>
    </row>
    <row r="8" spans="1:22" ht="18" customHeight="1">
      <c r="A8" s="3" t="s">
        <v>72</v>
      </c>
      <c r="B8" s="4">
        <v>0.0788</v>
      </c>
      <c r="C8" s="4">
        <v>0.1691392332974893</v>
      </c>
      <c r="D8" s="4">
        <v>-0.3658561433480949</v>
      </c>
      <c r="E8" s="4">
        <v>0.2192115014214782</v>
      </c>
      <c r="F8" s="4">
        <v>0.2003437286625345</v>
      </c>
      <c r="G8" s="4">
        <v>0.7212476109123138</v>
      </c>
      <c r="H8" s="15"/>
      <c r="I8" s="6">
        <v>220.7700958251953</v>
      </c>
      <c r="J8" s="7">
        <v>44.96334</v>
      </c>
      <c r="K8" s="7">
        <v>19.561543</v>
      </c>
      <c r="L8" s="4">
        <v>0.3487891106312935</v>
      </c>
      <c r="M8" s="4">
        <v>0.7486</v>
      </c>
      <c r="N8" s="4">
        <v>0.3531</v>
      </c>
      <c r="O8" s="3" t="s">
        <v>72</v>
      </c>
      <c r="P8" s="5">
        <v>140</v>
      </c>
      <c r="Q8" s="5">
        <v>269.16544</v>
      </c>
      <c r="R8" s="5">
        <v>265</v>
      </c>
      <c r="S8" s="5">
        <v>380</v>
      </c>
      <c r="T8" s="7">
        <v>4.9</v>
      </c>
      <c r="U8" s="7">
        <v>8.34076</v>
      </c>
      <c r="V8" s="7">
        <v>11.28592</v>
      </c>
    </row>
    <row r="9" spans="1:22" ht="18" customHeight="1">
      <c r="A9" s="3" t="s">
        <v>179</v>
      </c>
      <c r="B9" s="4">
        <v>0.07820000000000001</v>
      </c>
      <c r="C9" s="4">
        <v>0.3472631665038135</v>
      </c>
      <c r="D9" s="4">
        <v>-0.416579878789091</v>
      </c>
      <c r="E9" s="4">
        <v>0.07460668119430847</v>
      </c>
      <c r="F9" s="4">
        <v>0.1229464592545275</v>
      </c>
      <c r="G9" s="4">
        <v>0.295559430065593</v>
      </c>
      <c r="H9" s="15"/>
      <c r="I9" s="6">
        <v>1562.43994140625</v>
      </c>
      <c r="J9" s="7">
        <v>51.37915</v>
      </c>
      <c r="K9" s="7">
        <v>32.409805</v>
      </c>
      <c r="L9" s="4">
        <v>0.5420508917093201</v>
      </c>
      <c r="M9" s="4">
        <v>0.2711</v>
      </c>
      <c r="N9" s="4">
        <v>0.3022</v>
      </c>
      <c r="O9" s="3" t="s">
        <v>179</v>
      </c>
      <c r="P9" s="5">
        <v>911.5589</v>
      </c>
      <c r="Q9" s="5">
        <v>1679.0084</v>
      </c>
      <c r="R9" s="5">
        <v>1754.5364</v>
      </c>
      <c r="S9" s="5">
        <v>2024.2338</v>
      </c>
      <c r="T9" s="7">
        <v>26.26</v>
      </c>
      <c r="U9" s="7">
        <v>31.40828</v>
      </c>
      <c r="V9" s="7">
        <v>40.90003</v>
      </c>
    </row>
    <row r="10" spans="1:22" ht="18" customHeight="1">
      <c r="A10" s="3" t="s">
        <v>77</v>
      </c>
      <c r="B10" s="4">
        <v>0.0557</v>
      </c>
      <c r="C10" s="4">
        <v>0.606104356111435</v>
      </c>
      <c r="D10" s="4">
        <v>-0.2589348751356417</v>
      </c>
      <c r="E10" s="4">
        <v>0.04580710447832392</v>
      </c>
      <c r="F10" s="4">
        <v>0.06107051969214949</v>
      </c>
      <c r="G10" s="4">
        <v>0.2968639685126271</v>
      </c>
      <c r="H10" s="15"/>
      <c r="I10" s="6">
        <v>296.8699951171875</v>
      </c>
      <c r="J10" s="7">
        <v>56.11909</v>
      </c>
      <c r="K10" s="7">
        <v>37.51703</v>
      </c>
      <c r="L10" s="4">
        <v>1.384700031317069</v>
      </c>
      <c r="M10" s="4">
        <v>0.37080002</v>
      </c>
      <c r="N10" s="4">
        <v>0.3944</v>
      </c>
      <c r="O10" s="3" t="s">
        <v>77</v>
      </c>
      <c r="P10" s="5">
        <v>220</v>
      </c>
      <c r="Q10" s="5">
        <v>310.46875</v>
      </c>
      <c r="R10" s="5">
        <v>315</v>
      </c>
      <c r="S10" s="5">
        <v>385</v>
      </c>
      <c r="T10" s="7">
        <v>4.15</v>
      </c>
      <c r="U10" s="7">
        <v>5.675</v>
      </c>
      <c r="V10" s="7">
        <v>7.91294</v>
      </c>
    </row>
    <row r="11" spans="1:22" ht="18" customHeight="1">
      <c r="A11" s="3" t="s">
        <v>83</v>
      </c>
      <c r="B11" s="4">
        <v>0.05309999999999999</v>
      </c>
      <c r="C11" s="4">
        <v>0.6614215491630184</v>
      </c>
      <c r="D11" s="4">
        <v>-0.3724083742451747</v>
      </c>
      <c r="E11" s="4">
        <v>-0.01516898798401556</v>
      </c>
      <c r="F11" s="4">
        <v>-0.002577594782509851</v>
      </c>
      <c r="G11" s="4">
        <v>0.2327692648755497</v>
      </c>
      <c r="H11" s="15"/>
      <c r="I11" s="6">
        <v>446.1499938964844</v>
      </c>
      <c r="J11" s="7">
        <v>45.758972</v>
      </c>
      <c r="K11" s="7">
        <v>30.995058</v>
      </c>
      <c r="L11" s="4">
        <v>0.5839540115112469</v>
      </c>
      <c r="M11" s="4">
        <v>0.17959999</v>
      </c>
      <c r="N11" s="4">
        <v>0.2953</v>
      </c>
      <c r="O11" s="3" t="s">
        <v>83</v>
      </c>
      <c r="P11" s="5">
        <v>280</v>
      </c>
      <c r="Q11" s="5">
        <v>439.38235</v>
      </c>
      <c r="R11" s="5">
        <v>445</v>
      </c>
      <c r="S11" s="5">
        <v>550</v>
      </c>
      <c r="T11" s="7">
        <v>8.66</v>
      </c>
      <c r="U11" s="7">
        <v>11.11229</v>
      </c>
      <c r="V11" s="7">
        <v>14.39423</v>
      </c>
    </row>
    <row r="12" spans="1:22" ht="18" customHeight="1">
      <c r="A12" s="3" t="s">
        <v>183</v>
      </c>
      <c r="B12" s="4">
        <v>0.0403</v>
      </c>
      <c r="C12" s="4">
        <v>0.6832957495139378</v>
      </c>
      <c r="D12" s="4">
        <v>-0.3229060982670545</v>
      </c>
      <c r="E12" s="4">
        <v>-0.05524241523824958</v>
      </c>
      <c r="F12" s="4">
        <v>-0.05545400708254111</v>
      </c>
      <c r="G12" s="4">
        <v>0.1510596329460072</v>
      </c>
      <c r="H12" s="15"/>
      <c r="I12" s="6">
        <v>295.3800048828125</v>
      </c>
      <c r="J12" s="7">
        <v>50.578766</v>
      </c>
      <c r="K12" s="7">
        <v>32.107395</v>
      </c>
      <c r="L12" s="4">
        <v>-0.04186852228769944</v>
      </c>
      <c r="M12" s="4">
        <v>0.39040002</v>
      </c>
      <c r="N12" s="4">
        <v>0.18370001</v>
      </c>
      <c r="O12" s="3" t="s">
        <v>183</v>
      </c>
      <c r="P12" s="5">
        <v>200</v>
      </c>
      <c r="Q12" s="5">
        <v>279.0625</v>
      </c>
      <c r="R12" s="5">
        <v>279</v>
      </c>
      <c r="S12" s="5">
        <v>340</v>
      </c>
      <c r="T12" s="7">
        <v>5.45</v>
      </c>
      <c r="U12" s="7">
        <v>7.67388</v>
      </c>
      <c r="V12" s="7">
        <v>8.86983</v>
      </c>
    </row>
    <row r="13" spans="1:22" ht="18" customHeight="1">
      <c r="A13" s="3" t="s">
        <v>90</v>
      </c>
      <c r="B13" s="4">
        <v>0.0339</v>
      </c>
      <c r="C13" s="4">
        <v>0.461542725653403</v>
      </c>
      <c r="D13" s="4">
        <v>-0.247423105924371</v>
      </c>
      <c r="E13" s="4">
        <v>-0.01323450785015901</v>
      </c>
      <c r="F13" s="4">
        <v>0.007915483137003188</v>
      </c>
      <c r="G13" s="4">
        <v>0.1288653411134435</v>
      </c>
      <c r="H13" s="15"/>
      <c r="I13" s="6">
        <v>1860.275024414062</v>
      </c>
      <c r="J13" s="7">
        <v>52.65426</v>
      </c>
      <c r="K13" s="7">
        <v>37.425133</v>
      </c>
      <c r="L13" s="4">
        <v>0.9249564605495981</v>
      </c>
      <c r="M13" s="4">
        <v>0.11399999</v>
      </c>
      <c r="N13" s="4">
        <v>0.34080002</v>
      </c>
      <c r="O13" s="3" t="s">
        <v>90</v>
      </c>
      <c r="P13" s="5">
        <v>1400</v>
      </c>
      <c r="Q13" s="5">
        <v>1835.6552</v>
      </c>
      <c r="R13" s="5">
        <v>1875</v>
      </c>
      <c r="S13" s="5">
        <v>2100</v>
      </c>
      <c r="T13" s="7">
        <v>20.28</v>
      </c>
      <c r="U13" s="7">
        <v>37.0733</v>
      </c>
      <c r="V13" s="7">
        <v>49.70657</v>
      </c>
    </row>
    <row r="14" spans="1:22" ht="18" customHeight="1">
      <c r="A14" s="3" t="s">
        <v>180</v>
      </c>
      <c r="B14" s="4">
        <v>0.0333</v>
      </c>
      <c r="C14" s="4">
        <v>0.3708974071243711</v>
      </c>
      <c r="D14" s="4">
        <v>-0.5755968169761273</v>
      </c>
      <c r="E14" s="4">
        <v>-0.2579789496021221</v>
      </c>
      <c r="F14" s="4">
        <v>-0.3209549071618037</v>
      </c>
      <c r="G14" s="4">
        <v>0.273209549071618</v>
      </c>
      <c r="H14" s="15"/>
      <c r="I14" s="6">
        <v>235.625</v>
      </c>
      <c r="J14" s="7">
        <v>25.363295</v>
      </c>
      <c r="K14" s="7">
        <v>22.15468</v>
      </c>
      <c r="L14" s="4">
        <v>0.1382382149564476</v>
      </c>
      <c r="M14" s="4">
        <v>-0.1062</v>
      </c>
      <c r="N14" s="4">
        <v>-0.0109</v>
      </c>
      <c r="O14" s="3" t="s">
        <v>180</v>
      </c>
      <c r="P14" s="5">
        <v>100</v>
      </c>
      <c r="Q14" s="5">
        <v>174.83871</v>
      </c>
      <c r="R14" s="5">
        <v>160</v>
      </c>
      <c r="S14" s="5">
        <v>300</v>
      </c>
      <c r="T14" s="7">
        <v>5.01</v>
      </c>
      <c r="U14" s="7">
        <v>10.75261</v>
      </c>
      <c r="V14" s="7">
        <v>10.63545</v>
      </c>
    </row>
    <row r="15" spans="1:22" ht="18" customHeight="1">
      <c r="A15" s="3" t="s">
        <v>100</v>
      </c>
      <c r="B15" s="4">
        <v>0.0312</v>
      </c>
      <c r="C15" s="4">
        <v>0.5333533737855229</v>
      </c>
      <c r="D15" s="4">
        <v>-0.2949836169402428</v>
      </c>
      <c r="E15" s="4">
        <v>-0.05745977366973976</v>
      </c>
      <c r="F15" s="4">
        <v>-0.04404558229185462</v>
      </c>
      <c r="G15" s="4">
        <v>0.1351958710284227</v>
      </c>
      <c r="H15" s="15"/>
      <c r="I15" s="6">
        <v>418.4299926757812</v>
      </c>
      <c r="J15" s="7">
        <v>76.6163</v>
      </c>
      <c r="K15" s="7">
        <v>31.810942</v>
      </c>
      <c r="L15" s="4">
        <v>0.3043409700860968</v>
      </c>
      <c r="M15" s="4">
        <v>0.4721</v>
      </c>
      <c r="N15" s="4">
        <v>0.1467</v>
      </c>
      <c r="O15" s="3" t="s">
        <v>100</v>
      </c>
      <c r="P15" s="5">
        <v>295</v>
      </c>
      <c r="Q15" s="5">
        <v>394.3871</v>
      </c>
      <c r="R15" s="5">
        <v>400</v>
      </c>
      <c r="S15" s="5">
        <v>475</v>
      </c>
      <c r="T15" s="7">
        <v>4.56</v>
      </c>
      <c r="U15" s="7">
        <v>11.46783</v>
      </c>
      <c r="V15" s="7">
        <v>13.15035</v>
      </c>
    </row>
    <row r="16" spans="1:22" ht="18" customHeight="1">
      <c r="A16" s="3" t="s">
        <v>182</v>
      </c>
      <c r="B16" s="4">
        <v>0.0194</v>
      </c>
      <c r="C16" s="4">
        <v>0.9130602643390446</v>
      </c>
      <c r="D16" s="4">
        <v>-0.5023419292665803</v>
      </c>
      <c r="E16" s="4">
        <v>-0.2372147677273759</v>
      </c>
      <c r="F16" s="4">
        <v>-0.2601579172003445</v>
      </c>
      <c r="G16" s="4">
        <v>0.1416861622707866</v>
      </c>
      <c r="H16" s="15"/>
      <c r="I16" s="6">
        <v>170.8000030517578</v>
      </c>
      <c r="J16" s="7">
        <v>55.816994</v>
      </c>
      <c r="K16" s="7">
        <v>31.42635</v>
      </c>
      <c r="L16" s="4">
        <v>-0.2493322889812534</v>
      </c>
      <c r="M16" s="4">
        <v>0.34919998</v>
      </c>
      <c r="N16" s="4">
        <v>0.4184</v>
      </c>
      <c r="O16" s="3" t="s">
        <v>182</v>
      </c>
      <c r="P16" s="5">
        <v>85</v>
      </c>
      <c r="Q16" s="5">
        <v>130.28372</v>
      </c>
      <c r="R16" s="5">
        <v>126.36503</v>
      </c>
      <c r="S16" s="5">
        <v>195</v>
      </c>
      <c r="T16" s="7">
        <v>3.07</v>
      </c>
      <c r="U16" s="7">
        <v>3.8317</v>
      </c>
      <c r="V16" s="7">
        <v>5.43493</v>
      </c>
    </row>
    <row r="17" spans="1:22" ht="18" customHeight="1">
      <c r="A17" s="3" t="s">
        <v>197</v>
      </c>
      <c r="B17" s="4">
        <v>0.0156</v>
      </c>
      <c r="C17" s="4">
        <v>0.07258440785692</v>
      </c>
      <c r="D17" s="4">
        <v>-0.2162681130580792</v>
      </c>
      <c r="E17" s="4">
        <v>0.03756534421917235</v>
      </c>
      <c r="F17" s="4">
        <v>0.04795151404887266</v>
      </c>
      <c r="G17" s="4">
        <v>0.2614231187625318</v>
      </c>
      <c r="H17" s="15"/>
      <c r="I17" s="6">
        <v>515.291015625</v>
      </c>
      <c r="J17" s="7">
        <v>79.15376000000001</v>
      </c>
      <c r="K17" s="7">
        <v>30.223286</v>
      </c>
      <c r="L17" s="4">
        <v>-0.02699119374271752</v>
      </c>
      <c r="M17" s="4">
        <v>0.1195</v>
      </c>
      <c r="N17" s="4">
        <v>0.17959999</v>
      </c>
      <c r="O17" s="3" t="s">
        <v>197</v>
      </c>
      <c r="P17" s="5">
        <v>403.85</v>
      </c>
      <c r="Q17" s="5">
        <v>534.6481</v>
      </c>
      <c r="R17" s="5">
        <v>540</v>
      </c>
      <c r="S17" s="5">
        <v>650</v>
      </c>
      <c r="T17" s="7">
        <v>8.039999999999999</v>
      </c>
      <c r="U17" s="7">
        <v>14.45319</v>
      </c>
      <c r="V17" s="7">
        <v>17.04947</v>
      </c>
    </row>
    <row r="18" spans="1:22" ht="18" customHeight="1">
      <c r="A18" s="3" t="s">
        <v>198</v>
      </c>
      <c r="B18" s="4">
        <v>0.0152</v>
      </c>
      <c r="C18" s="4">
        <v>0.170038659204673</v>
      </c>
      <c r="D18" s="4">
        <v>-0.2427996983702279</v>
      </c>
      <c r="E18" s="4">
        <v>0.04506665470096594</v>
      </c>
      <c r="F18" s="4">
        <v>0.06696406138740629</v>
      </c>
      <c r="G18" s="4">
        <v>0.1702186479732841</v>
      </c>
      <c r="H18" s="15"/>
      <c r="I18" s="6">
        <v>363.1799926757812</v>
      </c>
      <c r="J18" s="7">
        <v>84.85513</v>
      </c>
      <c r="K18" s="7">
        <v>38.715744</v>
      </c>
      <c r="L18" s="4">
        <v>0.05012424486526834</v>
      </c>
      <c r="M18" s="4">
        <v>0.11399999</v>
      </c>
      <c r="N18" s="4">
        <v>0.17940001</v>
      </c>
      <c r="O18" s="3" t="s">
        <v>198</v>
      </c>
      <c r="P18" s="5">
        <v>275</v>
      </c>
      <c r="Q18" s="5">
        <v>379.5473</v>
      </c>
      <c r="R18" s="5">
        <v>387.5</v>
      </c>
      <c r="S18" s="5">
        <v>425</v>
      </c>
      <c r="T18" s="7">
        <v>4.06</v>
      </c>
      <c r="U18" s="7">
        <v>4.49478</v>
      </c>
      <c r="V18" s="7">
        <v>9.38068</v>
      </c>
    </row>
    <row r="19" spans="1:22" ht="18" customHeight="1">
      <c r="A19" s="3" t="s">
        <v>184</v>
      </c>
      <c r="B19" s="4">
        <v>0.0089</v>
      </c>
      <c r="C19" s="4">
        <v>0.3695982805494225</v>
      </c>
      <c r="D19" s="4">
        <v>-0.3366500829187397</v>
      </c>
      <c r="E19" s="4">
        <v>-0.0149253731343284</v>
      </c>
      <c r="F19" s="4">
        <v>-0.00497512437810943</v>
      </c>
      <c r="G19" s="4">
        <v>0.144278606965174</v>
      </c>
      <c r="H19" s="15"/>
      <c r="I19" s="6">
        <v>301.5</v>
      </c>
      <c r="J19" s="7">
        <v>28.824091</v>
      </c>
      <c r="K19" s="7">
        <v>17.113558</v>
      </c>
      <c r="L19" s="4">
        <v>0.07239398214187198</v>
      </c>
      <c r="M19" s="4">
        <v>0.2494</v>
      </c>
      <c r="N19" s="4">
        <v>0.19389999</v>
      </c>
      <c r="O19" s="3" t="s">
        <v>184</v>
      </c>
      <c r="P19" s="5">
        <v>200</v>
      </c>
      <c r="Q19" s="5">
        <v>297</v>
      </c>
      <c r="R19" s="5">
        <v>300</v>
      </c>
      <c r="S19" s="5">
        <v>345</v>
      </c>
      <c r="T19" s="7">
        <v>7.95</v>
      </c>
      <c r="U19" s="7">
        <v>14.7559</v>
      </c>
      <c r="V19" s="7">
        <v>17.61761</v>
      </c>
    </row>
    <row r="20" spans="1:22" ht="18" customHeight="1">
      <c r="A20" s="3" t="s">
        <v>123</v>
      </c>
      <c r="B20" s="4">
        <v>0.008699999999999999</v>
      </c>
      <c r="C20" s="4">
        <v>0.7646525834862083</v>
      </c>
      <c r="D20" s="4">
        <v>-0.09033853353510524</v>
      </c>
      <c r="E20" s="4">
        <v>0.08986103659655131</v>
      </c>
      <c r="F20" s="4">
        <v>0.09917427197841455</v>
      </c>
      <c r="G20" s="4">
        <v>0.2128819552865264</v>
      </c>
      <c r="H20" s="15"/>
      <c r="I20" s="6">
        <v>1648.965087890625</v>
      </c>
      <c r="J20" s="7">
        <v>118.37509</v>
      </c>
      <c r="K20" s="7">
        <v>54.675976</v>
      </c>
      <c r="L20" s="4">
        <v>0.5379549276510605</v>
      </c>
      <c r="M20" s="4">
        <v>0.3518</v>
      </c>
      <c r="N20" s="4">
        <v>0.2555</v>
      </c>
      <c r="O20" s="3" t="s">
        <v>123</v>
      </c>
      <c r="P20" s="5">
        <v>1500</v>
      </c>
      <c r="Q20" s="5">
        <v>1797.1428</v>
      </c>
      <c r="R20" s="5">
        <v>1812.5</v>
      </c>
      <c r="S20" s="5">
        <v>2000</v>
      </c>
      <c r="T20" s="7">
        <v>12.86</v>
      </c>
      <c r="U20" s="7">
        <v>24.02205</v>
      </c>
      <c r="V20" s="7">
        <v>30.15886</v>
      </c>
    </row>
    <row r="21" spans="1:22" ht="18" customHeight="1">
      <c r="A21" s="3" t="s">
        <v>128</v>
      </c>
      <c r="B21" s="4">
        <v>0.008199999999999999</v>
      </c>
      <c r="C21" s="4">
        <v>0.7592146836864426</v>
      </c>
      <c r="D21" s="4">
        <v>-0.2602536857884186</v>
      </c>
      <c r="E21" s="4">
        <v>0.0124371349546053</v>
      </c>
      <c r="F21" s="4">
        <v>0.06030305036993333</v>
      </c>
      <c r="G21" s="4">
        <v>0.287706546960901</v>
      </c>
      <c r="H21" s="15"/>
      <c r="I21" s="6">
        <v>364.989990234375</v>
      </c>
      <c r="J21" s="7">
        <v>67.59074</v>
      </c>
      <c r="K21" s="7">
        <v>38.366608</v>
      </c>
      <c r="L21" s="4">
        <v>0.5360537887020902</v>
      </c>
      <c r="M21" s="4">
        <v>0.8128</v>
      </c>
      <c r="N21" s="4">
        <v>0.3252</v>
      </c>
      <c r="O21" s="3" t="s">
        <v>128</v>
      </c>
      <c r="P21" s="5">
        <v>270</v>
      </c>
      <c r="Q21" s="5">
        <v>369.52942</v>
      </c>
      <c r="R21" s="5">
        <v>387</v>
      </c>
      <c r="S21" s="5">
        <v>470</v>
      </c>
      <c r="T21" s="7">
        <v>3.47</v>
      </c>
      <c r="U21" s="7">
        <v>7.17873</v>
      </c>
      <c r="V21" s="7">
        <v>9.51322</v>
      </c>
    </row>
    <row r="22" spans="1:22" ht="18" customHeight="1">
      <c r="A22" s="3" t="s">
        <v>194</v>
      </c>
      <c r="B22" s="4">
        <v>0.0074</v>
      </c>
      <c r="C22" s="4">
        <v>1.182308846666892</v>
      </c>
      <c r="D22" s="4">
        <v>-0.4492948414418813</v>
      </c>
      <c r="E22" s="4">
        <v>-0.09562980594297288</v>
      </c>
      <c r="F22" s="4">
        <v>-0.1017461590591661</v>
      </c>
      <c r="G22" s="4">
        <v>0.5110812277509356</v>
      </c>
      <c r="H22" s="15"/>
      <c r="I22" s="6">
        <v>59.56000137329102</v>
      </c>
      <c r="J22" s="7">
        <v>372.25003</v>
      </c>
      <c r="K22" s="7">
        <v>26.70852</v>
      </c>
      <c r="L22" s="4">
        <v>0.08186108855023955</v>
      </c>
      <c r="M22" s="4">
        <v>1.2887</v>
      </c>
      <c r="N22" s="4">
        <v>0.83839995</v>
      </c>
      <c r="O22" s="3" t="s">
        <v>194</v>
      </c>
      <c r="P22" s="5">
        <v>32.8</v>
      </c>
      <c r="Q22" s="5">
        <v>53.86429</v>
      </c>
      <c r="R22" s="5">
        <v>53.5</v>
      </c>
      <c r="S22" s="5">
        <v>90</v>
      </c>
      <c r="T22" s="7">
        <v>0.18</v>
      </c>
      <c r="U22" s="7">
        <v>1.08</v>
      </c>
      <c r="V22" s="7">
        <v>2.23</v>
      </c>
    </row>
    <row r="23" spans="1:22" ht="18" customHeight="1">
      <c r="A23" s="3" t="s">
        <v>185</v>
      </c>
      <c r="B23" s="4">
        <v>0.0073</v>
      </c>
      <c r="C23" s="4">
        <v>0.5073626476595043</v>
      </c>
      <c r="D23" s="4">
        <v>-0.2303745269501226</v>
      </c>
      <c r="E23" s="4">
        <v>0.1538225091963761</v>
      </c>
      <c r="F23" s="4">
        <v>0.2314007568798038</v>
      </c>
      <c r="G23" s="4">
        <v>0.3853258514897793</v>
      </c>
      <c r="H23" s="15"/>
      <c r="I23" s="6">
        <v>97.44999694824219</v>
      </c>
      <c r="J23" s="7">
        <v>442.95453</v>
      </c>
      <c r="K23" s="7">
        <v>23.850431</v>
      </c>
      <c r="L23" s="4">
        <v>0.1556103721876427</v>
      </c>
      <c r="M23" s="4">
        <v>0.92660004</v>
      </c>
      <c r="N23" s="4">
        <v>0.2932</v>
      </c>
      <c r="O23" s="3" t="s">
        <v>185</v>
      </c>
      <c r="P23" s="5">
        <v>75</v>
      </c>
      <c r="Q23" s="5">
        <v>112.44</v>
      </c>
      <c r="R23" s="5">
        <v>120</v>
      </c>
      <c r="S23" s="5">
        <v>135</v>
      </c>
      <c r="T23" s="7">
        <v>-0.01</v>
      </c>
      <c r="U23" s="7">
        <v>3.15956</v>
      </c>
      <c r="V23" s="7">
        <v>4.08588</v>
      </c>
    </row>
    <row r="24" spans="1:22" ht="18" customHeight="1">
      <c r="A24" s="3" t="s">
        <v>186</v>
      </c>
      <c r="B24" s="4">
        <v>0.0048</v>
      </c>
      <c r="C24" s="4">
        <v>0.8709876129986311</v>
      </c>
      <c r="D24" s="4">
        <v>-0.3590045662737537</v>
      </c>
      <c r="E24" s="4">
        <v>-0.02485477784067391</v>
      </c>
      <c r="F24" s="4">
        <v>-0.04793325284778116</v>
      </c>
      <c r="G24" s="4">
        <v>0.1783004296438353</v>
      </c>
      <c r="H24" s="15"/>
      <c r="I24" s="6">
        <v>106.0849990844727</v>
      </c>
      <c r="J24" s="7">
        <v>78.00368</v>
      </c>
      <c r="K24" s="7">
        <v>24.87164</v>
      </c>
      <c r="L24" s="4">
        <v>-0.1225084697902059</v>
      </c>
      <c r="M24" s="4">
        <v>0.3147</v>
      </c>
      <c r="N24" s="4">
        <v>0.3805</v>
      </c>
      <c r="O24" s="3" t="s">
        <v>186</v>
      </c>
      <c r="P24" s="5">
        <v>68</v>
      </c>
      <c r="Q24" s="5">
        <v>103.44828</v>
      </c>
      <c r="R24" s="5">
        <v>101</v>
      </c>
      <c r="S24" s="5">
        <v>125</v>
      </c>
      <c r="T24" s="7">
        <v>0.29</v>
      </c>
      <c r="U24" s="7">
        <v>3.08965</v>
      </c>
      <c r="V24" s="7">
        <v>4.2653</v>
      </c>
    </row>
    <row r="25" spans="1:22" ht="18" customHeight="1">
      <c r="A25" s="3" t="s">
        <v>188</v>
      </c>
      <c r="B25" s="4">
        <v>0.0039</v>
      </c>
      <c r="C25" s="4">
        <v>0.1450490004626244</v>
      </c>
      <c r="D25" s="4">
        <v>-0.2542773610268678</v>
      </c>
      <c r="E25" s="4">
        <v>0.1795177405191677</v>
      </c>
      <c r="F25" s="4">
        <v>0.2524014754059307</v>
      </c>
      <c r="G25" s="4">
        <v>0.4445174298856753</v>
      </c>
      <c r="H25" s="15"/>
      <c r="I25" s="6">
        <v>205.6049957275391</v>
      </c>
      <c r="J25" s="7">
        <v>138.92229</v>
      </c>
      <c r="K25" s="7">
        <v>49.22902</v>
      </c>
      <c r="L25" s="4">
        <v>0.2356829427077429</v>
      </c>
      <c r="M25" s="4">
        <v>0.6308</v>
      </c>
      <c r="N25" s="4">
        <v>0.39189997</v>
      </c>
      <c r="O25" s="3" t="s">
        <v>188</v>
      </c>
      <c r="P25" s="5">
        <v>153.3243</v>
      </c>
      <c r="Q25" s="5">
        <v>242.51474</v>
      </c>
      <c r="R25" s="5">
        <v>257.5</v>
      </c>
      <c r="S25" s="5">
        <v>297</v>
      </c>
      <c r="T25" s="7">
        <v>1.22</v>
      </c>
      <c r="U25" s="7">
        <v>3.00062</v>
      </c>
      <c r="V25" s="7">
        <v>4.1765</v>
      </c>
    </row>
    <row r="26" spans="1:22" ht="18" customHeight="1">
      <c r="A26" s="3" t="s">
        <v>190</v>
      </c>
      <c r="B26" s="4">
        <v>0.0029</v>
      </c>
      <c r="C26" s="4">
        <v>0.6718705941623357</v>
      </c>
      <c r="D26" s="4">
        <v>-0.2307949818125405</v>
      </c>
      <c r="E26" s="4">
        <v>0.07086716010271532</v>
      </c>
      <c r="F26" s="4">
        <v>0.0869201343953232</v>
      </c>
      <c r="G26" s="4">
        <v>0.3711915541602537</v>
      </c>
      <c r="H26" s="15"/>
      <c r="I26" s="6">
        <v>149.5050048828125</v>
      </c>
      <c r="J26" s="7">
        <v>86.41907500000001</v>
      </c>
      <c r="K26" s="7">
        <v>32.46467</v>
      </c>
      <c r="L26" s="4">
        <v>-0.1296178574983642</v>
      </c>
      <c r="M26" s="4">
        <v>0.32169998</v>
      </c>
      <c r="N26" s="4">
        <v>0.26700002</v>
      </c>
      <c r="O26" s="3" t="s">
        <v>190</v>
      </c>
      <c r="P26" s="5">
        <v>115</v>
      </c>
      <c r="Q26" s="5">
        <v>160.1</v>
      </c>
      <c r="R26" s="5">
        <v>162.5</v>
      </c>
      <c r="S26" s="5">
        <v>205</v>
      </c>
      <c r="T26" s="7">
        <v>1.55</v>
      </c>
      <c r="U26" s="7">
        <v>3.6348</v>
      </c>
      <c r="V26" s="7">
        <v>4.60516</v>
      </c>
    </row>
    <row r="27" spans="1:22" ht="18" customHeight="1">
      <c r="A27" s="3" t="s">
        <v>196</v>
      </c>
      <c r="B27" s="4">
        <v>0.0013</v>
      </c>
      <c r="C27" s="4">
        <v>0.07896380004565517</v>
      </c>
      <c r="D27" s="4">
        <v>-0.1989513972258607</v>
      </c>
      <c r="E27" s="4">
        <v>0.08007407580324211</v>
      </c>
      <c r="F27" s="4">
        <v>0.04864544363160039</v>
      </c>
      <c r="G27" s="4">
        <v>0.5438391253465229</v>
      </c>
      <c r="H27" s="15"/>
      <c r="I27" s="6">
        <v>68.66000366210938</v>
      </c>
      <c r="J27" s="7">
        <v>28.608334</v>
      </c>
      <c r="K27" s="7">
        <v>13.342429</v>
      </c>
      <c r="L27" s="4">
        <v>-0.2529396653723179</v>
      </c>
      <c r="M27" s="4">
        <v>-0.155</v>
      </c>
      <c r="N27" s="4">
        <v>0.027</v>
      </c>
      <c r="O27" s="3" t="s">
        <v>196</v>
      </c>
      <c r="P27" s="5">
        <v>55</v>
      </c>
      <c r="Q27" s="5">
        <v>74.15788999999999</v>
      </c>
      <c r="R27" s="5">
        <v>72</v>
      </c>
      <c r="S27" s="5">
        <v>106</v>
      </c>
      <c r="T27" s="7">
        <v>3.08</v>
      </c>
      <c r="U27" s="7">
        <v>5.01067</v>
      </c>
      <c r="V27" s="7">
        <v>5.14599</v>
      </c>
    </row>
    <row r="30" spans="1:22" ht="18" customHeight="1">
      <c r="A30" s="16" t="s">
        <v>171</v>
      </c>
      <c r="B30" s="17">
        <f>SUM(B3:B27)</f>
        <v>0</v>
      </c>
      <c r="C30" s="17">
        <f>SUMPRODUCT(B3:B27,C3:C27)</f>
        <v>0</v>
      </c>
      <c r="D30" s="17">
        <f>SUMPRODUCT(B3:B27,D3:D27)</f>
        <v>0</v>
      </c>
      <c r="E30" s="17">
        <f>SUMPRODUCT(B3:B27,E3:E27)</f>
        <v>0</v>
      </c>
      <c r="F30" s="17">
        <f>SUMPRODUCT(B3:B27,F3:F27)</f>
        <v>0</v>
      </c>
      <c r="G30" s="17">
        <f>SUMPRODUCT(B3:B27,G3:G27)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27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27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19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0.1449121</v>
      </c>
      <c r="C3" s="4">
        <v>0.1690598041145448</v>
      </c>
      <c r="D3" s="4">
        <v>-0.3658845874895069</v>
      </c>
      <c r="E3" s="4">
        <v>0.2191568144226312</v>
      </c>
      <c r="F3" s="4">
        <v>0.2002898879662904</v>
      </c>
      <c r="G3" s="4">
        <v>0.721170405385624</v>
      </c>
      <c r="H3" s="15"/>
      <c r="I3" s="6">
        <v>220.7799987792969</v>
      </c>
      <c r="J3" s="7">
        <v>44.962322</v>
      </c>
      <c r="K3" s="7">
        <v>19.561098</v>
      </c>
      <c r="L3" s="4">
        <v>0.3487891106312935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173</v>
      </c>
      <c r="B4" s="4">
        <v>0.11922234</v>
      </c>
      <c r="C4" s="4">
        <v>0.08052745703016417</v>
      </c>
      <c r="D4" s="4">
        <v>-0.2651080058990638</v>
      </c>
      <c r="E4" s="4">
        <v>0.0434814825935268</v>
      </c>
      <c r="F4" s="4">
        <v>0.05961171242460583</v>
      </c>
      <c r="G4" s="4">
        <v>0.3672409192575559</v>
      </c>
      <c r="H4" s="15"/>
      <c r="I4" s="6">
        <v>292.5599975585938</v>
      </c>
      <c r="J4" s="7">
        <v>35.376057</v>
      </c>
      <c r="K4" s="7">
        <v>30.603376</v>
      </c>
      <c r="L4" s="4">
        <v>0.1199078603174795</v>
      </c>
      <c r="M4" s="4">
        <v>0.1693</v>
      </c>
      <c r="N4" s="4">
        <v>0.0959</v>
      </c>
      <c r="O4" s="3" t="s">
        <v>173</v>
      </c>
      <c r="P4" s="5">
        <v>215</v>
      </c>
      <c r="Q4" s="5">
        <v>305.28094</v>
      </c>
      <c r="R4" s="5">
        <v>310</v>
      </c>
      <c r="S4" s="5">
        <v>400</v>
      </c>
      <c r="T4" s="7">
        <v>7.46</v>
      </c>
      <c r="U4" s="7">
        <v>8.72795</v>
      </c>
      <c r="V4" s="7">
        <v>9.606960000000001</v>
      </c>
    </row>
    <row r="5" spans="1:22" ht="18" customHeight="1">
      <c r="A5" s="3" t="s">
        <v>175</v>
      </c>
      <c r="B5" s="4">
        <v>0.0854207</v>
      </c>
      <c r="C5" s="4">
        <v>-0.1281049736945533</v>
      </c>
      <c r="D5" s="4">
        <v>-0.02774572708296197</v>
      </c>
      <c r="E5" s="4">
        <v>0.3649382942690689</v>
      </c>
      <c r="F5" s="4">
        <v>0.3672325712895848</v>
      </c>
      <c r="G5" s="4">
        <v>1.114653043594558</v>
      </c>
      <c r="H5" s="15"/>
      <c r="I5" s="6">
        <v>411.4150085449219</v>
      </c>
      <c r="J5" s="7">
        <v>24.532797</v>
      </c>
      <c r="K5" s="7">
        <v>21.256771</v>
      </c>
      <c r="L5" s="4">
        <v>0.163905497584615</v>
      </c>
      <c r="M5" s="4">
        <v>0.2354</v>
      </c>
      <c r="N5" s="4">
        <v>0.1486</v>
      </c>
      <c r="O5" s="3" t="s">
        <v>175</v>
      </c>
      <c r="P5" s="5">
        <v>400</v>
      </c>
      <c r="Q5" s="5">
        <v>561.5561</v>
      </c>
      <c r="R5" s="5">
        <v>562.5</v>
      </c>
      <c r="S5" s="5">
        <v>870</v>
      </c>
      <c r="T5" s="7">
        <v>13.64</v>
      </c>
      <c r="U5" s="7">
        <v>16.85079</v>
      </c>
      <c r="V5" s="7">
        <v>19.35454</v>
      </c>
    </row>
    <row r="6" spans="1:22" ht="18" customHeight="1">
      <c r="A6" s="3" t="s">
        <v>73</v>
      </c>
      <c r="B6" s="4">
        <v>0.05673151</v>
      </c>
      <c r="C6" s="4">
        <v>1.549942054968072</v>
      </c>
      <c r="D6" s="4">
        <v>-0.6902850351912591</v>
      </c>
      <c r="E6" s="4">
        <v>-0.2861570082908934</v>
      </c>
      <c r="F6" s="4">
        <v>-0.3158906399806927</v>
      </c>
      <c r="G6" s="4">
        <v>0.2438352000351043</v>
      </c>
      <c r="H6" s="15"/>
      <c r="I6" s="6">
        <v>803.9650268554688</v>
      </c>
      <c r="J6" s="7">
        <v>37.905</v>
      </c>
      <c r="K6" s="7">
        <v>7.8988843</v>
      </c>
      <c r="L6" s="4">
        <v>2.27888901203893</v>
      </c>
      <c r="M6" s="4">
        <v>0.060095</v>
      </c>
      <c r="N6" s="4">
        <v>0.7516</v>
      </c>
      <c r="O6" s="3" t="s">
        <v>73</v>
      </c>
      <c r="P6" s="5">
        <v>249</v>
      </c>
      <c r="Q6" s="5">
        <v>573.9048</v>
      </c>
      <c r="R6" s="5">
        <v>550</v>
      </c>
      <c r="S6" s="5">
        <v>1000</v>
      </c>
      <c r="T6" s="7">
        <v>7.59</v>
      </c>
      <c r="U6" s="7">
        <v>58.10855</v>
      </c>
      <c r="V6" s="7">
        <v>101.7821</v>
      </c>
    </row>
    <row r="7" spans="1:22" ht="18" customHeight="1">
      <c r="A7" s="3" t="s">
        <v>74</v>
      </c>
      <c r="B7" s="4">
        <v>0.05649629</v>
      </c>
      <c r="C7" s="4">
        <v>0.2392030345473863</v>
      </c>
      <c r="D7" s="4">
        <v>-0.1625375018280588</v>
      </c>
      <c r="E7" s="4">
        <v>0.1061319826948497</v>
      </c>
      <c r="F7" s="4">
        <v>0.1108009524363942</v>
      </c>
      <c r="G7" s="4">
        <v>0.465559371800897</v>
      </c>
      <c r="H7" s="15"/>
      <c r="I7" s="6">
        <v>429.8699951171875</v>
      </c>
      <c r="J7" s="7">
        <v>83.958984</v>
      </c>
      <c r="K7" s="7">
        <v>23.726192</v>
      </c>
      <c r="L7" s="4">
        <v>0.505420891432524</v>
      </c>
      <c r="M7" s="4">
        <v>0.6753</v>
      </c>
      <c r="N7" s="4">
        <v>0.5857</v>
      </c>
      <c r="O7" s="3" t="s">
        <v>74</v>
      </c>
      <c r="P7" s="5">
        <v>360</v>
      </c>
      <c r="Q7" s="5">
        <v>475.49295</v>
      </c>
      <c r="R7" s="5">
        <v>477.5</v>
      </c>
      <c r="S7" s="5">
        <v>630</v>
      </c>
      <c r="T7" s="7">
        <v>4.77</v>
      </c>
      <c r="U7" s="7">
        <v>11.42564</v>
      </c>
      <c r="V7" s="7">
        <v>18.11795</v>
      </c>
    </row>
    <row r="8" spans="1:22" ht="18" customHeight="1">
      <c r="A8" s="3" t="s">
        <v>76</v>
      </c>
      <c r="B8" s="4">
        <v>0.05009019999999999</v>
      </c>
      <c r="C8" s="4">
        <v>1.097999293972891</v>
      </c>
      <c r="D8" s="4">
        <v>-0.5200920448460862</v>
      </c>
      <c r="E8" s="4">
        <v>-0.05080426077654632</v>
      </c>
      <c r="F8" s="4">
        <v>-0.02951946846652975</v>
      </c>
      <c r="G8" s="4">
        <v>0.3330776532053161</v>
      </c>
      <c r="H8" s="15"/>
      <c r="I8" s="6">
        <v>468.8399047851562</v>
      </c>
      <c r="J8" s="7">
        <v>156.29</v>
      </c>
      <c r="K8" s="7">
        <v>36.33967</v>
      </c>
      <c r="L8" s="4">
        <v>0.7753461704239681</v>
      </c>
      <c r="M8" s="4">
        <v>0.7586000000000001</v>
      </c>
      <c r="N8" s="4">
        <v>0.7594</v>
      </c>
      <c r="O8" s="3" t="s">
        <v>76</v>
      </c>
      <c r="P8" s="5">
        <v>225</v>
      </c>
      <c r="Q8" s="5">
        <v>445.02084</v>
      </c>
      <c r="R8" s="5">
        <v>455</v>
      </c>
      <c r="S8" s="5">
        <v>625</v>
      </c>
      <c r="T8" s="7">
        <v>2.65</v>
      </c>
      <c r="U8" s="7">
        <v>7.3335</v>
      </c>
      <c r="V8" s="7">
        <v>12.90243</v>
      </c>
    </row>
    <row r="9" spans="1:22" ht="18" customHeight="1">
      <c r="A9" s="3" t="s">
        <v>78</v>
      </c>
      <c r="B9" s="4">
        <v>0.03958762</v>
      </c>
      <c r="C9" s="4">
        <v>2.237049137038588</v>
      </c>
      <c r="D9" s="4">
        <v>-0.8399686193827142</v>
      </c>
      <c r="E9" s="4">
        <v>-0.3520298020104017</v>
      </c>
      <c r="F9" s="4">
        <v>-0.3606589450829023</v>
      </c>
      <c r="G9" s="4">
        <v>-0.07432828858628804</v>
      </c>
      <c r="H9" s="15"/>
      <c r="I9" s="6">
        <v>127.4749984741211</v>
      </c>
      <c r="J9" s="9" t="s">
        <v>79</v>
      </c>
      <c r="K9" s="7">
        <v>83.27563000000001</v>
      </c>
      <c r="L9" s="4">
        <v>0.8249259534597484</v>
      </c>
      <c r="M9" s="4">
        <v>0.015855</v>
      </c>
      <c r="N9" s="4">
        <v>0.4129</v>
      </c>
      <c r="O9" s="3" t="s">
        <v>78</v>
      </c>
      <c r="P9" s="5">
        <v>20.4</v>
      </c>
      <c r="Q9" s="5">
        <v>82.59999999999999</v>
      </c>
      <c r="R9" s="5">
        <v>81.5</v>
      </c>
      <c r="S9" s="5">
        <v>118</v>
      </c>
      <c r="T9" s="7">
        <v>-0.06</v>
      </c>
      <c r="U9" s="7">
        <v>1.08591</v>
      </c>
      <c r="V9" s="7">
        <v>1.53433</v>
      </c>
    </row>
    <row r="10" spans="1:22" ht="18" customHeight="1">
      <c r="A10" s="3" t="s">
        <v>85</v>
      </c>
      <c r="B10" s="4">
        <v>0.0257528</v>
      </c>
      <c r="C10" s="4">
        <v>0.3000099868859074</v>
      </c>
      <c r="D10" s="4">
        <v>-0.2371847006428727</v>
      </c>
      <c r="E10" s="4">
        <v>-0.08925396381267658</v>
      </c>
      <c r="F10" s="4">
        <v>-0.08462164077144729</v>
      </c>
      <c r="G10" s="4">
        <v>0.1187957723904534</v>
      </c>
      <c r="H10" s="15"/>
      <c r="I10" s="6">
        <v>98.31999969482422</v>
      </c>
      <c r="J10" s="7">
        <v>35.366905</v>
      </c>
      <c r="K10" s="7">
        <v>21.792809</v>
      </c>
      <c r="L10" s="4">
        <v>0.3369957920274396</v>
      </c>
      <c r="M10" s="4">
        <v>0.091800004</v>
      </c>
      <c r="N10" s="4">
        <v>0.08459999999999999</v>
      </c>
      <c r="O10" s="3" t="s">
        <v>85</v>
      </c>
      <c r="P10" s="5">
        <v>75</v>
      </c>
      <c r="Q10" s="5">
        <v>89.54455</v>
      </c>
      <c r="R10" s="5">
        <v>90</v>
      </c>
      <c r="S10" s="5">
        <v>110</v>
      </c>
      <c r="T10" s="7">
        <v>2.61</v>
      </c>
      <c r="U10" s="7">
        <v>4.15994</v>
      </c>
      <c r="V10" s="7">
        <v>4.51172</v>
      </c>
    </row>
    <row r="11" spans="1:22" ht="18" customHeight="1">
      <c r="A11" s="3" t="s">
        <v>77</v>
      </c>
      <c r="B11" s="4">
        <v>0.02478371</v>
      </c>
      <c r="C11" s="4">
        <v>0.6065912477229067</v>
      </c>
      <c r="D11" s="4">
        <v>-0.259159461441189</v>
      </c>
      <c r="E11" s="4">
        <v>0.04549016343491297</v>
      </c>
      <c r="F11" s="4">
        <v>0.06074895293647953</v>
      </c>
      <c r="G11" s="4">
        <v>0.2964709424779193</v>
      </c>
      <c r="H11" s="15"/>
      <c r="I11" s="6">
        <v>296.9599914550781</v>
      </c>
      <c r="J11" s="7">
        <v>56.136105</v>
      </c>
      <c r="K11" s="7">
        <v>37.5284</v>
      </c>
      <c r="L11" s="4">
        <v>1.384699777556252</v>
      </c>
      <c r="M11" s="4">
        <v>0.37080002</v>
      </c>
      <c r="N11" s="4">
        <v>0.3944</v>
      </c>
      <c r="O11" s="3" t="s">
        <v>77</v>
      </c>
      <c r="P11" s="5">
        <v>220</v>
      </c>
      <c r="Q11" s="5">
        <v>310.46875</v>
      </c>
      <c r="R11" s="5">
        <v>315</v>
      </c>
      <c r="S11" s="5">
        <v>385</v>
      </c>
      <c r="T11" s="7">
        <v>4.15</v>
      </c>
      <c r="U11" s="7">
        <v>5.675</v>
      </c>
      <c r="V11" s="7">
        <v>7.91294</v>
      </c>
    </row>
    <row r="12" spans="1:22" ht="18" customHeight="1">
      <c r="A12" s="3" t="s">
        <v>83</v>
      </c>
      <c r="B12" s="4">
        <v>0.02332711</v>
      </c>
      <c r="C12" s="4">
        <v>0.6620918253354393</v>
      </c>
      <c r="D12" s="4">
        <v>-0.372661464782257</v>
      </c>
      <c r="E12" s="4">
        <v>-0.01556614339453699</v>
      </c>
      <c r="F12" s="4">
        <v>-0.002979827957515613</v>
      </c>
      <c r="G12" s="4">
        <v>0.232272122749138</v>
      </c>
      <c r="H12" s="15"/>
      <c r="I12" s="6">
        <v>446.3299865722656</v>
      </c>
      <c r="J12" s="7">
        <v>45.777435</v>
      </c>
      <c r="K12" s="7">
        <v>31.007563</v>
      </c>
      <c r="L12" s="4">
        <v>0.5839538623588496</v>
      </c>
      <c r="M12" s="4">
        <v>0.17959999</v>
      </c>
      <c r="N12" s="4">
        <v>0.2953</v>
      </c>
      <c r="O12" s="3" t="s">
        <v>83</v>
      </c>
      <c r="P12" s="5">
        <v>280</v>
      </c>
      <c r="Q12" s="5">
        <v>439.38235</v>
      </c>
      <c r="R12" s="5">
        <v>445</v>
      </c>
      <c r="S12" s="5">
        <v>550</v>
      </c>
      <c r="T12" s="7">
        <v>8.66</v>
      </c>
      <c r="U12" s="7">
        <v>11.11229</v>
      </c>
      <c r="V12" s="7">
        <v>14.39423</v>
      </c>
    </row>
    <row r="13" spans="1:22" ht="18" customHeight="1">
      <c r="A13" s="3" t="s">
        <v>199</v>
      </c>
      <c r="B13" s="4">
        <v>0.02242657</v>
      </c>
      <c r="C13" s="4">
        <v>-0.003108557589898697</v>
      </c>
      <c r="D13" s="4">
        <v>-0.2006188505464913</v>
      </c>
      <c r="E13" s="4">
        <v>0.2485923549293603</v>
      </c>
      <c r="F13" s="4">
        <v>0.1346055024501414</v>
      </c>
      <c r="G13" s="4">
        <v>1.062919095363894</v>
      </c>
      <c r="H13" s="15"/>
      <c r="I13" s="6">
        <v>193.8999938964844</v>
      </c>
      <c r="J13" s="7">
        <v>34.8759</v>
      </c>
      <c r="K13" s="7">
        <v>24.14065</v>
      </c>
      <c r="L13" s="4">
        <v>0.1856209280948347</v>
      </c>
      <c r="M13" s="4">
        <v>0.2359</v>
      </c>
      <c r="N13" s="4">
        <v>0.077800006</v>
      </c>
      <c r="O13" s="3" t="s">
        <v>199</v>
      </c>
      <c r="P13" s="5">
        <v>155</v>
      </c>
      <c r="Q13" s="5">
        <v>242.10205</v>
      </c>
      <c r="R13" s="5">
        <v>220</v>
      </c>
      <c r="S13" s="5">
        <v>400</v>
      </c>
      <c r="T13" s="7">
        <v>4.34</v>
      </c>
      <c r="U13" s="7">
        <v>7.45245</v>
      </c>
      <c r="V13" s="7">
        <v>8.03251</v>
      </c>
    </row>
    <row r="14" spans="1:22" ht="18" customHeight="1">
      <c r="A14" s="3" t="s">
        <v>93</v>
      </c>
      <c r="B14" s="4">
        <v>0.02124582</v>
      </c>
      <c r="C14" s="4">
        <v>-0.1937328973800534</v>
      </c>
      <c r="D14" s="4">
        <v>-0.4827840853103204</v>
      </c>
      <c r="E14" s="4">
        <v>0.3411162620903978</v>
      </c>
      <c r="F14" s="4">
        <v>0.4038717684434163</v>
      </c>
      <c r="G14" s="4">
        <v>0.8841436892266903</v>
      </c>
      <c r="H14" s="15"/>
      <c r="I14" s="6">
        <v>135.3399963378906</v>
      </c>
      <c r="J14" s="7">
        <v>150.37778</v>
      </c>
      <c r="K14" s="7">
        <v>65.73732</v>
      </c>
      <c r="L14" s="4">
        <v>1.364011094939334</v>
      </c>
      <c r="M14" s="4">
        <v>0.9482</v>
      </c>
      <c r="N14" s="4">
        <v>0.409</v>
      </c>
      <c r="O14" s="3" t="s">
        <v>93</v>
      </c>
      <c r="P14" s="5">
        <v>70</v>
      </c>
      <c r="Q14" s="5">
        <v>181.50667</v>
      </c>
      <c r="R14" s="5">
        <v>190</v>
      </c>
      <c r="S14" s="5">
        <v>255</v>
      </c>
      <c r="T14" s="7">
        <v>0.63</v>
      </c>
      <c r="U14" s="7">
        <v>1.46118</v>
      </c>
      <c r="V14" s="7">
        <v>2.0588</v>
      </c>
    </row>
    <row r="15" spans="1:22" ht="18" customHeight="1">
      <c r="A15" s="3" t="s">
        <v>183</v>
      </c>
      <c r="B15" s="4">
        <v>0.01762891</v>
      </c>
      <c r="C15" s="4">
        <v>0.6831816632816157</v>
      </c>
      <c r="D15" s="4">
        <v>-0.3228602047703143</v>
      </c>
      <c r="E15" s="4">
        <v>-0.05517837946857918</v>
      </c>
      <c r="F15" s="4">
        <v>-0.05538998565458841</v>
      </c>
      <c r="G15" s="4">
        <v>0.1511376518904657</v>
      </c>
      <c r="H15" s="15"/>
      <c r="I15" s="6">
        <v>295.3599853515625</v>
      </c>
      <c r="J15" s="7">
        <v>50.57534</v>
      </c>
      <c r="K15" s="7">
        <v>32.105217</v>
      </c>
      <c r="L15" s="4">
        <v>-0.04186835892513663</v>
      </c>
      <c r="M15" s="4">
        <v>0.39040002</v>
      </c>
      <c r="N15" s="4">
        <v>0.18370001</v>
      </c>
      <c r="O15" s="3" t="s">
        <v>183</v>
      </c>
      <c r="P15" s="5">
        <v>200</v>
      </c>
      <c r="Q15" s="5">
        <v>279.0625</v>
      </c>
      <c r="R15" s="5">
        <v>279</v>
      </c>
      <c r="S15" s="5">
        <v>340</v>
      </c>
      <c r="T15" s="7">
        <v>5.45</v>
      </c>
      <c r="U15" s="7">
        <v>7.67388</v>
      </c>
      <c r="V15" s="7">
        <v>8.86983</v>
      </c>
    </row>
    <row r="16" spans="1:22" ht="18" customHeight="1">
      <c r="A16" s="3" t="s">
        <v>90</v>
      </c>
      <c r="B16" s="4">
        <v>0.01653656</v>
      </c>
      <c r="C16" s="4">
        <v>0.4614602467519378</v>
      </c>
      <c r="D16" s="4">
        <v>-0.2473806335303189</v>
      </c>
      <c r="E16" s="4">
        <v>-0.01317881879944593</v>
      </c>
      <c r="F16" s="4">
        <v>0.007972365807608739</v>
      </c>
      <c r="G16" s="4">
        <v>0.1289290497045217</v>
      </c>
      <c r="H16" s="15"/>
      <c r="I16" s="6">
        <v>1860.170043945312</v>
      </c>
      <c r="J16" s="7">
        <v>52.651287</v>
      </c>
      <c r="K16" s="7">
        <v>37.423023</v>
      </c>
      <c r="L16" s="4">
        <v>0.9249564605495981</v>
      </c>
      <c r="M16" s="4">
        <v>0.11399999</v>
      </c>
      <c r="N16" s="4">
        <v>0.34080002</v>
      </c>
      <c r="O16" s="3" t="s">
        <v>90</v>
      </c>
      <c r="P16" s="5">
        <v>1400</v>
      </c>
      <c r="Q16" s="5">
        <v>1835.6552</v>
      </c>
      <c r="R16" s="5">
        <v>1875</v>
      </c>
      <c r="S16" s="5">
        <v>2100</v>
      </c>
      <c r="T16" s="7">
        <v>20.28</v>
      </c>
      <c r="U16" s="7">
        <v>37.0733</v>
      </c>
      <c r="V16" s="7">
        <v>49.70657</v>
      </c>
    </row>
    <row r="17" spans="1:22" ht="18" customHeight="1">
      <c r="A17" s="3" t="s">
        <v>180</v>
      </c>
      <c r="B17" s="4">
        <v>0.01577792</v>
      </c>
      <c r="C17" s="4">
        <v>0.3713628683562356</v>
      </c>
      <c r="D17" s="4">
        <v>-0.5756778513304321</v>
      </c>
      <c r="E17" s="4">
        <v>-0.2581206290218454</v>
      </c>
      <c r="F17" s="4">
        <v>-0.3210845621286914</v>
      </c>
      <c r="G17" s="4">
        <v>0.2729664460087036</v>
      </c>
      <c r="H17" s="15"/>
      <c r="I17" s="6">
        <v>235.6699981689453</v>
      </c>
      <c r="J17" s="7">
        <v>25.371906</v>
      </c>
      <c r="K17" s="7">
        <v>22.162203</v>
      </c>
      <c r="L17" s="4">
        <v>0.1382382149564476</v>
      </c>
      <c r="M17" s="4">
        <v>-0.1062</v>
      </c>
      <c r="N17" s="4">
        <v>-0.0109</v>
      </c>
      <c r="O17" s="3" t="s">
        <v>180</v>
      </c>
      <c r="P17" s="5">
        <v>100</v>
      </c>
      <c r="Q17" s="5">
        <v>174.83871</v>
      </c>
      <c r="R17" s="5">
        <v>160</v>
      </c>
      <c r="S17" s="5">
        <v>300</v>
      </c>
      <c r="T17" s="7">
        <v>5.01</v>
      </c>
      <c r="U17" s="7">
        <v>10.75261</v>
      </c>
      <c r="V17" s="7">
        <v>10.63545</v>
      </c>
    </row>
    <row r="18" spans="1:22" ht="18" customHeight="1">
      <c r="A18" s="3" t="s">
        <v>82</v>
      </c>
      <c r="B18" s="4">
        <v>0.0155643</v>
      </c>
      <c r="C18" s="4">
        <v>4.670596860161986</v>
      </c>
      <c r="D18" s="4">
        <v>-0.3590688973551812</v>
      </c>
      <c r="E18" s="4">
        <v>-0.1033082891278385</v>
      </c>
      <c r="F18" s="4">
        <v>-0.1347430114294946</v>
      </c>
      <c r="G18" s="4">
        <v>0.2818622052896376</v>
      </c>
      <c r="H18" s="15"/>
      <c r="I18" s="6">
        <v>1560.230102539062</v>
      </c>
      <c r="J18" s="7">
        <v>53.43395</v>
      </c>
      <c r="K18" s="7">
        <v>9.224665</v>
      </c>
      <c r="L18" s="4">
        <v>5.59388902452257</v>
      </c>
      <c r="M18" s="4">
        <v>0.205815</v>
      </c>
      <c r="N18" s="4">
        <v>0.01623</v>
      </c>
      <c r="O18" s="3" t="s">
        <v>82</v>
      </c>
      <c r="P18" s="5">
        <v>1000</v>
      </c>
      <c r="Q18" s="5">
        <v>1399.0454</v>
      </c>
      <c r="R18" s="5">
        <v>1350</v>
      </c>
      <c r="S18" s="5">
        <v>2000</v>
      </c>
      <c r="T18" s="7">
        <v>-11.32</v>
      </c>
      <c r="U18" s="7">
        <v>64.52876000000001</v>
      </c>
      <c r="V18" s="7">
        <v>169.2571</v>
      </c>
    </row>
    <row r="19" spans="1:22" ht="18" customHeight="1">
      <c r="A19" s="3" t="s">
        <v>200</v>
      </c>
      <c r="B19" s="4">
        <v>0.01449538</v>
      </c>
      <c r="C19" s="4">
        <v>-0.2229687490719457</v>
      </c>
      <c r="D19" s="4">
        <v>-0.1278094480075396</v>
      </c>
      <c r="E19" s="4">
        <v>0.2442200773657981</v>
      </c>
      <c r="F19" s="4">
        <v>0.2635581073736926</v>
      </c>
      <c r="G19" s="4">
        <v>0.498378640602432</v>
      </c>
      <c r="H19" s="15"/>
      <c r="I19" s="6">
        <v>223.5749969482422</v>
      </c>
      <c r="J19" s="7">
        <v>19.785398</v>
      </c>
      <c r="K19" s="7">
        <v>16.618055</v>
      </c>
      <c r="L19" s="4">
        <v>0.3815736611423923</v>
      </c>
      <c r="M19" s="4">
        <v>0.07239999599999999</v>
      </c>
      <c r="N19" s="4">
        <v>0.082399994</v>
      </c>
      <c r="O19" s="3" t="s">
        <v>200</v>
      </c>
      <c r="P19" s="5">
        <v>195</v>
      </c>
      <c r="Q19" s="5">
        <v>278.1765</v>
      </c>
      <c r="R19" s="5">
        <v>282.5</v>
      </c>
      <c r="S19" s="5">
        <v>335</v>
      </c>
      <c r="T19" s="7">
        <v>11.17</v>
      </c>
      <c r="U19" s="7">
        <v>12.42947</v>
      </c>
      <c r="V19" s="7">
        <v>13.45374</v>
      </c>
    </row>
    <row r="20" spans="1:22" ht="18" customHeight="1">
      <c r="A20" s="3" t="s">
        <v>100</v>
      </c>
      <c r="B20" s="4">
        <v>0.01373666</v>
      </c>
      <c r="C20" s="4">
        <v>0.5340129641148417</v>
      </c>
      <c r="D20" s="4">
        <v>-0.2952867577866083</v>
      </c>
      <c r="E20" s="4">
        <v>-0.0578650443113996</v>
      </c>
      <c r="F20" s="4">
        <v>-0.04445662072760448</v>
      </c>
      <c r="G20" s="4">
        <v>0.1347077628859696</v>
      </c>
      <c r="H20" s="15"/>
      <c r="I20" s="6">
        <v>418.6099853515625</v>
      </c>
      <c r="J20" s="7">
        <v>76.66849499999999</v>
      </c>
      <c r="K20" s="7">
        <v>31.832613</v>
      </c>
      <c r="L20" s="4">
        <v>0.3043408740641875</v>
      </c>
      <c r="M20" s="4">
        <v>0.4721</v>
      </c>
      <c r="N20" s="4">
        <v>0.1467</v>
      </c>
      <c r="O20" s="3" t="s">
        <v>100</v>
      </c>
      <c r="P20" s="5">
        <v>295</v>
      </c>
      <c r="Q20" s="5">
        <v>394.3871</v>
      </c>
      <c r="R20" s="5">
        <v>400</v>
      </c>
      <c r="S20" s="5">
        <v>475</v>
      </c>
      <c r="T20" s="7">
        <v>4.56</v>
      </c>
      <c r="U20" s="7">
        <v>11.46783</v>
      </c>
      <c r="V20" s="7">
        <v>13.15035</v>
      </c>
    </row>
    <row r="21" spans="1:22" ht="18" customHeight="1">
      <c r="A21" s="3" t="s">
        <v>84</v>
      </c>
      <c r="B21" s="4">
        <v>0.0115193</v>
      </c>
      <c r="C21" s="4">
        <v>1.90925315106663</v>
      </c>
      <c r="D21" s="4">
        <v>-0.3468047250967327</v>
      </c>
      <c r="E21" s="4">
        <v>-0.04722839786589084</v>
      </c>
      <c r="F21" s="4">
        <v>-0.07593842761390979</v>
      </c>
      <c r="G21" s="4">
        <v>0.1985234401894813</v>
      </c>
      <c r="H21" s="15"/>
      <c r="I21" s="6">
        <v>834.3599853515625</v>
      </c>
      <c r="J21" s="7">
        <v>78.936615</v>
      </c>
      <c r="K21" s="7">
        <v>31.757256</v>
      </c>
      <c r="L21" s="4">
        <v>2.249612703994384</v>
      </c>
      <c r="M21" s="4">
        <v>0.8376</v>
      </c>
      <c r="N21" s="4">
        <v>0.7651</v>
      </c>
      <c r="O21" s="3" t="s">
        <v>84</v>
      </c>
      <c r="P21" s="5">
        <v>545</v>
      </c>
      <c r="Q21" s="5">
        <v>794.9545000000001</v>
      </c>
      <c r="R21" s="5">
        <v>771</v>
      </c>
      <c r="S21" s="5">
        <v>1000</v>
      </c>
      <c r="T21" s="7">
        <v>1.58</v>
      </c>
      <c r="U21" s="7">
        <v>14.88438</v>
      </c>
      <c r="V21" s="7">
        <v>26.27305</v>
      </c>
    </row>
    <row r="22" spans="1:22" ht="18" customHeight="1">
      <c r="A22" s="3" t="s">
        <v>201</v>
      </c>
      <c r="B22" s="4">
        <v>0.01149862</v>
      </c>
      <c r="C22" s="4">
        <v>-0.2996090296526358</v>
      </c>
      <c r="D22" s="4">
        <v>0.07229526148254206</v>
      </c>
      <c r="E22" s="4">
        <v>0.5139296591448876</v>
      </c>
      <c r="F22" s="4">
        <v>0.4278457955530692</v>
      </c>
      <c r="G22" s="4">
        <v>1.680738153706355</v>
      </c>
      <c r="H22" s="15"/>
      <c r="I22" s="6">
        <v>177.1900024414062</v>
      </c>
      <c r="J22" s="7">
        <v>22.716667</v>
      </c>
      <c r="K22" s="7">
        <v>11.860297</v>
      </c>
      <c r="L22" s="4">
        <v>-0.1936145078173783</v>
      </c>
      <c r="M22" s="4">
        <v>0.0545</v>
      </c>
      <c r="N22" s="4">
        <v>0.13159999</v>
      </c>
      <c r="O22" s="3" t="s">
        <v>201</v>
      </c>
      <c r="P22" s="5">
        <v>190</v>
      </c>
      <c r="Q22" s="5">
        <v>268.2532</v>
      </c>
      <c r="R22" s="5">
        <v>253</v>
      </c>
      <c r="S22" s="5">
        <v>475</v>
      </c>
      <c r="T22" s="7">
        <v>7.8</v>
      </c>
      <c r="U22" s="7">
        <v>13.20252</v>
      </c>
      <c r="V22" s="7">
        <v>14.93976</v>
      </c>
    </row>
    <row r="23" spans="1:22" ht="18" customHeight="1">
      <c r="A23" s="3" t="s">
        <v>202</v>
      </c>
      <c r="B23" s="4">
        <v>0.01133781</v>
      </c>
      <c r="C23" s="4">
        <v>0.1916429778433224</v>
      </c>
      <c r="D23" s="4">
        <v>-0.4666541785574978</v>
      </c>
      <c r="E23" s="4">
        <v>-0.02893258442751823</v>
      </c>
      <c r="F23" s="4">
        <v>-0.0175208552374958</v>
      </c>
      <c r="G23" s="4">
        <v>0.239795111247922</v>
      </c>
      <c r="H23" s="15"/>
      <c r="I23" s="6">
        <v>213.7449951171875</v>
      </c>
      <c r="J23" s="7">
        <v>118.09116</v>
      </c>
      <c r="K23" s="7">
        <v>53.838696</v>
      </c>
      <c r="L23" s="4">
        <v>0.01914347322075849</v>
      </c>
      <c r="M23" s="4">
        <v>0.105100006</v>
      </c>
      <c r="N23" s="4">
        <v>0.0756</v>
      </c>
      <c r="O23" s="3" t="s">
        <v>202</v>
      </c>
      <c r="P23" s="5">
        <v>114</v>
      </c>
      <c r="Q23" s="5">
        <v>207.5608</v>
      </c>
      <c r="R23" s="5">
        <v>210</v>
      </c>
      <c r="S23" s="5">
        <v>265</v>
      </c>
      <c r="T23" s="7">
        <v>1.6</v>
      </c>
      <c r="U23" s="7">
        <v>3.69117</v>
      </c>
      <c r="V23" s="7">
        <v>2.29782</v>
      </c>
    </row>
    <row r="24" spans="1:22" ht="18" customHeight="1">
      <c r="A24" s="3" t="s">
        <v>86</v>
      </c>
      <c r="B24" s="4">
        <v>0.01098386</v>
      </c>
      <c r="C24" s="4">
        <v>1.769758854293156</v>
      </c>
      <c r="D24" s="4">
        <v>-0.3072060326297614</v>
      </c>
      <c r="E24" s="4">
        <v>-0.04609618158027651</v>
      </c>
      <c r="F24" s="4">
        <v>-0.0377861564302242</v>
      </c>
      <c r="G24" s="4">
        <v>0.270122273512104</v>
      </c>
      <c r="H24" s="15"/>
      <c r="I24" s="6">
        <v>519.635009765625</v>
      </c>
      <c r="J24" s="7">
        <v>31.115868</v>
      </c>
      <c r="K24" s="7">
        <v>29.833458</v>
      </c>
      <c r="L24" s="4">
        <v>2.697874329955039</v>
      </c>
      <c r="M24" s="4">
        <v>1.0124</v>
      </c>
      <c r="N24" s="4">
        <v>0.7556</v>
      </c>
      <c r="O24" s="3" t="s">
        <v>86</v>
      </c>
      <c r="P24" s="5">
        <v>360</v>
      </c>
      <c r="Q24" s="5">
        <v>495.68182</v>
      </c>
      <c r="R24" s="5">
        <v>500</v>
      </c>
      <c r="S24" s="5">
        <v>660</v>
      </c>
      <c r="T24" s="7">
        <v>5.12</v>
      </c>
      <c r="U24" s="7">
        <v>9.92107</v>
      </c>
      <c r="V24" s="7">
        <v>17.41786</v>
      </c>
    </row>
    <row r="25" spans="1:22" ht="18" customHeight="1">
      <c r="A25" s="3" t="s">
        <v>96</v>
      </c>
      <c r="B25" s="4">
        <v>0.01062194</v>
      </c>
      <c r="C25" s="4">
        <v>-0.1190840551745934</v>
      </c>
      <c r="D25" s="4">
        <v>0.09908001292456547</v>
      </c>
      <c r="E25" s="4">
        <v>0.4794611030776341</v>
      </c>
      <c r="F25" s="4">
        <v>0.4654400172327542</v>
      </c>
      <c r="G25" s="4">
        <v>0.7503866872502341</v>
      </c>
      <c r="H25" s="15"/>
      <c r="I25" s="6">
        <v>122.8300018310547</v>
      </c>
      <c r="J25" s="7">
        <v>35.29598</v>
      </c>
      <c r="K25" s="7">
        <v>21.826317</v>
      </c>
      <c r="L25" s="4">
        <v>0.973338140691121</v>
      </c>
      <c r="M25" s="4">
        <v>0.4411</v>
      </c>
      <c r="N25" s="4">
        <v>0.1692</v>
      </c>
      <c r="O25" s="3" t="s">
        <v>96</v>
      </c>
      <c r="P25" s="5">
        <v>135</v>
      </c>
      <c r="Q25" s="5">
        <v>181.72221</v>
      </c>
      <c r="R25" s="5">
        <v>180</v>
      </c>
      <c r="S25" s="5">
        <v>215</v>
      </c>
      <c r="T25" s="7">
        <v>3.34</v>
      </c>
      <c r="U25" s="7">
        <v>4.8133</v>
      </c>
      <c r="V25" s="7">
        <v>5.62761</v>
      </c>
    </row>
    <row r="26" spans="1:22" ht="18" customHeight="1">
      <c r="A26" s="3" t="s">
        <v>203</v>
      </c>
      <c r="B26" s="4">
        <v>0.009880659999999999</v>
      </c>
      <c r="C26" s="4">
        <v>0.01851487217909442</v>
      </c>
      <c r="D26" s="4">
        <v>0.271684861349039</v>
      </c>
      <c r="E26" s="4">
        <v>0.3885769576795153</v>
      </c>
      <c r="F26" s="4">
        <v>0.3672449954388513</v>
      </c>
      <c r="G26" s="4">
        <v>0.6171714999814368</v>
      </c>
      <c r="H26" s="15"/>
      <c r="I26" s="6">
        <v>136.0399932861328</v>
      </c>
      <c r="J26" s="7">
        <v>46.762886</v>
      </c>
      <c r="K26" s="7">
        <v>30.68763</v>
      </c>
      <c r="L26" s="4">
        <v>0.1721083970498218</v>
      </c>
      <c r="M26" s="4">
        <v>0.21790001</v>
      </c>
      <c r="N26" s="4">
        <v>0.2218</v>
      </c>
      <c r="O26" s="3" t="s">
        <v>203</v>
      </c>
      <c r="P26" s="5">
        <v>173</v>
      </c>
      <c r="Q26" s="5">
        <v>188.902</v>
      </c>
      <c r="R26" s="5">
        <v>186</v>
      </c>
      <c r="S26" s="5">
        <v>220</v>
      </c>
      <c r="T26" s="7">
        <v>2.75</v>
      </c>
      <c r="U26" s="7">
        <v>3.62926</v>
      </c>
      <c r="V26" s="7">
        <v>4.43436</v>
      </c>
    </row>
    <row r="27" spans="1:22" ht="18" customHeight="1">
      <c r="A27" s="3" t="s">
        <v>97</v>
      </c>
      <c r="B27" s="4">
        <v>0.00985077</v>
      </c>
      <c r="C27" s="4">
        <v>1.295442195256546</v>
      </c>
      <c r="D27" s="4">
        <v>-0.2827573117354951</v>
      </c>
      <c r="E27" s="4">
        <v>-0.05811752755326338</v>
      </c>
      <c r="F27" s="4">
        <v>-0.08539522972982605</v>
      </c>
      <c r="G27" s="4">
        <v>0.1071531429586317</v>
      </c>
      <c r="H27" s="15"/>
      <c r="I27" s="6">
        <v>207.7400054931641</v>
      </c>
      <c r="J27" s="7">
        <v>99.87501</v>
      </c>
      <c r="K27" s="7">
        <v>49.381016</v>
      </c>
      <c r="L27" s="4">
        <v>0.910171314190295</v>
      </c>
      <c r="M27" s="4">
        <v>0.2682</v>
      </c>
      <c r="N27" s="4">
        <v>0.3164</v>
      </c>
      <c r="O27" s="3" t="s">
        <v>97</v>
      </c>
      <c r="P27" s="5">
        <v>149</v>
      </c>
      <c r="Q27" s="5">
        <v>195.66667</v>
      </c>
      <c r="R27" s="5">
        <v>190</v>
      </c>
      <c r="S27" s="5">
        <v>230</v>
      </c>
      <c r="T27" s="7">
        <v>1.83</v>
      </c>
      <c r="U27" s="7">
        <v>3.19577</v>
      </c>
      <c r="V27" s="7">
        <v>4.20688</v>
      </c>
    </row>
    <row r="28" spans="1:22" ht="18" customHeight="1">
      <c r="A28" s="3" t="s">
        <v>204</v>
      </c>
      <c r="B28" s="4">
        <v>0.00897996</v>
      </c>
      <c r="C28" s="4">
        <v>0.1871549506223849</v>
      </c>
      <c r="D28" s="4">
        <v>-0.3165818209516624</v>
      </c>
      <c r="E28" s="4">
        <v>-0.08408124789397031</v>
      </c>
      <c r="F28" s="4">
        <v>-0.07144269151041094</v>
      </c>
      <c r="G28" s="4">
        <v>0.3111229195872998</v>
      </c>
      <c r="H28" s="15"/>
      <c r="I28" s="6">
        <v>538.4697265625</v>
      </c>
      <c r="J28" s="9" t="s">
        <v>79</v>
      </c>
      <c r="K28" s="7">
        <v>87.29997</v>
      </c>
      <c r="L28" s="4">
        <v>0.3495710678525419</v>
      </c>
      <c r="M28" s="4">
        <v>0.3014</v>
      </c>
      <c r="N28" s="4">
        <v>0.2707</v>
      </c>
      <c r="O28" s="3" t="s">
        <v>204</v>
      </c>
      <c r="P28" s="5">
        <v>368</v>
      </c>
      <c r="Q28" s="5">
        <v>493.19452</v>
      </c>
      <c r="R28" s="5">
        <v>500</v>
      </c>
      <c r="S28" s="5">
        <v>706</v>
      </c>
      <c r="T28" s="7">
        <v>-0.08</v>
      </c>
      <c r="U28" s="7">
        <v>4.85415</v>
      </c>
      <c r="V28" s="7">
        <v>6.16804</v>
      </c>
    </row>
    <row r="29" spans="1:22" ht="18" customHeight="1">
      <c r="A29" s="3" t="s">
        <v>205</v>
      </c>
      <c r="B29" s="4">
        <v>0.00857013</v>
      </c>
      <c r="C29" s="4">
        <v>-0.2489649382486941</v>
      </c>
      <c r="D29" s="4">
        <v>-0.2678409999892224</v>
      </c>
      <c r="E29" s="4">
        <v>0.3896407967928088</v>
      </c>
      <c r="F29" s="4">
        <v>0.4266333456092357</v>
      </c>
      <c r="G29" s="4">
        <v>0.8519315882625551</v>
      </c>
      <c r="H29" s="15"/>
      <c r="I29" s="6">
        <v>464.3800048828125</v>
      </c>
      <c r="J29" s="7">
        <v>40.45122</v>
      </c>
      <c r="K29" s="7">
        <v>21.1972</v>
      </c>
      <c r="L29" s="4">
        <v>0.971502164347936</v>
      </c>
      <c r="M29" s="4">
        <v>0.65279996</v>
      </c>
      <c r="N29" s="4">
        <v>0.2379</v>
      </c>
      <c r="O29" s="3" t="s">
        <v>205</v>
      </c>
      <c r="P29" s="5">
        <v>340</v>
      </c>
      <c r="Q29" s="5">
        <v>645.3214</v>
      </c>
      <c r="R29" s="5">
        <v>662.5</v>
      </c>
      <c r="S29" s="5">
        <v>860</v>
      </c>
      <c r="T29" s="7">
        <v>9.75</v>
      </c>
      <c r="U29" s="7">
        <v>16.16607</v>
      </c>
      <c r="V29" s="7">
        <v>21.07667</v>
      </c>
    </row>
    <row r="30" spans="1:22" ht="18" customHeight="1">
      <c r="A30" s="3" t="s">
        <v>206</v>
      </c>
      <c r="B30" s="4">
        <v>0.007492680000000001</v>
      </c>
      <c r="C30" s="4">
        <v>-0.3279514241191588</v>
      </c>
      <c r="D30" s="4">
        <v>0.212261185587592</v>
      </c>
      <c r="E30" s="4">
        <v>0.4384788209077213</v>
      </c>
      <c r="F30" s="4">
        <v>0.4345090696119838</v>
      </c>
      <c r="G30" s="4">
        <v>0.8472551399429973</v>
      </c>
      <c r="H30" s="15"/>
      <c r="I30" s="6">
        <v>173.2299957275391</v>
      </c>
      <c r="J30" s="7">
        <v>14.199181</v>
      </c>
      <c r="K30" s="7">
        <v>11.621019</v>
      </c>
      <c r="L30" s="4">
        <v>-0.219853938591136</v>
      </c>
      <c r="M30" s="4">
        <v>0.0733</v>
      </c>
      <c r="N30" s="4">
        <v>0.074099995</v>
      </c>
      <c r="O30" s="3" t="s">
        <v>206</v>
      </c>
      <c r="P30" s="5">
        <v>210</v>
      </c>
      <c r="Q30" s="5">
        <v>249.18768</v>
      </c>
      <c r="R30" s="5">
        <v>248.5</v>
      </c>
      <c r="S30" s="5">
        <v>320</v>
      </c>
      <c r="T30" s="7">
        <v>12.15</v>
      </c>
      <c r="U30" s="7">
        <v>13.87767</v>
      </c>
      <c r="V30" s="7">
        <v>14.90661</v>
      </c>
    </row>
    <row r="31" spans="1:22" ht="18" customHeight="1">
      <c r="A31" s="3" t="s">
        <v>207</v>
      </c>
      <c r="B31" s="4">
        <v>0.007443419999999999</v>
      </c>
      <c r="C31" s="4">
        <v>-0.3779600775647022</v>
      </c>
      <c r="D31" s="4">
        <v>0.09079131793899164</v>
      </c>
      <c r="E31" s="4">
        <v>0.5248228297960915</v>
      </c>
      <c r="F31" s="4">
        <v>0.5142750060800119</v>
      </c>
      <c r="G31" s="4">
        <v>1.350976111134391</v>
      </c>
      <c r="H31" s="15"/>
      <c r="I31" s="6">
        <v>389.6253967285156</v>
      </c>
      <c r="J31" s="7">
        <v>25.33325</v>
      </c>
      <c r="K31" s="7">
        <v>14.711945</v>
      </c>
      <c r="L31" s="4">
        <v>0.07066102085416048</v>
      </c>
      <c r="M31" s="4">
        <v>0.1526</v>
      </c>
      <c r="N31" s="4">
        <v>0.14029999</v>
      </c>
      <c r="O31" s="3" t="s">
        <v>207</v>
      </c>
      <c r="P31" s="5">
        <v>425</v>
      </c>
      <c r="Q31" s="5">
        <v>594.1097</v>
      </c>
      <c r="R31" s="5">
        <v>590</v>
      </c>
      <c r="S31" s="5">
        <v>916</v>
      </c>
      <c r="T31" s="7">
        <v>13.67</v>
      </c>
      <c r="U31" s="7">
        <v>23.2242</v>
      </c>
      <c r="V31" s="7">
        <v>26.48361</v>
      </c>
    </row>
    <row r="32" spans="1:22" ht="18" customHeight="1">
      <c r="A32" s="3" t="s">
        <v>208</v>
      </c>
      <c r="B32" s="4">
        <v>0.00701075</v>
      </c>
      <c r="C32" s="4">
        <v>-0.2640263665292201</v>
      </c>
      <c r="D32" s="4">
        <v>-0.1031390246106909</v>
      </c>
      <c r="E32" s="4">
        <v>0.3369547326536402</v>
      </c>
      <c r="F32" s="4">
        <v>0.2831430741302816</v>
      </c>
      <c r="G32" s="4">
        <v>0.9853240682481523</v>
      </c>
      <c r="H32" s="15"/>
      <c r="I32" s="6">
        <v>245.3000030517578</v>
      </c>
      <c r="J32" s="7">
        <v>14.294872</v>
      </c>
      <c r="K32" s="7">
        <v>9.296488</v>
      </c>
      <c r="L32" s="4">
        <v>-0.2063719042304422</v>
      </c>
      <c r="M32" s="4">
        <v>0.1246</v>
      </c>
      <c r="N32" s="4">
        <v>0.1205</v>
      </c>
      <c r="O32" s="3" t="s">
        <v>208</v>
      </c>
      <c r="P32" s="5">
        <v>220</v>
      </c>
      <c r="Q32" s="5">
        <v>327.955</v>
      </c>
      <c r="R32" s="5">
        <v>314.755</v>
      </c>
      <c r="S32" s="5">
        <v>487</v>
      </c>
      <c r="T32" s="7">
        <v>16.7</v>
      </c>
      <c r="U32" s="7">
        <v>23.54855</v>
      </c>
      <c r="V32" s="7">
        <v>26.38631</v>
      </c>
    </row>
    <row r="33" spans="1:22" ht="18" customHeight="1">
      <c r="A33" s="3" t="s">
        <v>197</v>
      </c>
      <c r="B33" s="4">
        <v>0.00666914</v>
      </c>
      <c r="C33" s="4">
        <v>0.07193698446164798</v>
      </c>
      <c r="D33" s="4">
        <v>-0.215794758405164</v>
      </c>
      <c r="E33" s="4">
        <v>0.03819200799484967</v>
      </c>
      <c r="F33" s="4">
        <v>0.04858445081394436</v>
      </c>
      <c r="G33" s="4">
        <v>0.262184987090859</v>
      </c>
      <c r="H33" s="15"/>
      <c r="I33" s="6">
        <v>514.97998046875</v>
      </c>
      <c r="J33" s="7">
        <v>79.10599000000001</v>
      </c>
      <c r="K33" s="7">
        <v>30.205042</v>
      </c>
      <c r="L33" s="4">
        <v>-0.02699119374271752</v>
      </c>
      <c r="M33" s="4">
        <v>0.1195</v>
      </c>
      <c r="N33" s="4">
        <v>0.17959999</v>
      </c>
      <c r="O33" s="3" t="s">
        <v>197</v>
      </c>
      <c r="P33" s="5">
        <v>403.85</v>
      </c>
      <c r="Q33" s="5">
        <v>534.6481</v>
      </c>
      <c r="R33" s="5">
        <v>540</v>
      </c>
      <c r="S33" s="5">
        <v>650</v>
      </c>
      <c r="T33" s="7">
        <v>8.039999999999999</v>
      </c>
      <c r="U33" s="7">
        <v>14.45319</v>
      </c>
      <c r="V33" s="7">
        <v>17.04947</v>
      </c>
    </row>
    <row r="34" spans="1:22" ht="18" customHeight="1">
      <c r="A34" s="3" t="s">
        <v>198</v>
      </c>
      <c r="B34" s="4">
        <v>0.00666354</v>
      </c>
      <c r="C34" s="4">
        <v>0.1696198290327373</v>
      </c>
      <c r="D34" s="4">
        <v>-0.2425285518620641</v>
      </c>
      <c r="E34" s="4">
        <v>0.04544088351943132</v>
      </c>
      <c r="F34" s="4">
        <v>0.06734613146709156</v>
      </c>
      <c r="G34" s="4">
        <v>0.1706376925768101</v>
      </c>
      <c r="H34" s="15"/>
      <c r="I34" s="6">
        <v>363.0499877929688</v>
      </c>
      <c r="J34" s="7">
        <v>84.82476</v>
      </c>
      <c r="K34" s="7">
        <v>38.701885</v>
      </c>
      <c r="L34" s="4">
        <v>0.05012424486526834</v>
      </c>
      <c r="M34" s="4">
        <v>0.11399999</v>
      </c>
      <c r="N34" s="4">
        <v>0.17940001</v>
      </c>
      <c r="O34" s="3" t="s">
        <v>198</v>
      </c>
      <c r="P34" s="5">
        <v>275</v>
      </c>
      <c r="Q34" s="5">
        <v>379.5473</v>
      </c>
      <c r="R34" s="5">
        <v>387.5</v>
      </c>
      <c r="S34" s="5">
        <v>425</v>
      </c>
      <c r="T34" s="7">
        <v>4.06</v>
      </c>
      <c r="U34" s="7">
        <v>4.49478</v>
      </c>
      <c r="V34" s="7">
        <v>9.38068</v>
      </c>
    </row>
    <row r="35" spans="1:22" ht="18" customHeight="1">
      <c r="A35" s="3" t="s">
        <v>209</v>
      </c>
      <c r="B35" s="4">
        <v>0.0064372</v>
      </c>
      <c r="C35" s="4">
        <v>-0.3833855429878231</v>
      </c>
      <c r="D35" s="4">
        <v>-0.06511012801836702</v>
      </c>
      <c r="E35" s="4">
        <v>0.597756817679558</v>
      </c>
      <c r="F35" s="4">
        <v>0.5398186126756308</v>
      </c>
      <c r="G35" s="4">
        <v>1.639689050301082</v>
      </c>
      <c r="H35" s="15"/>
      <c r="I35" s="6">
        <v>90.9197998046875</v>
      </c>
      <c r="J35" s="7">
        <v>54.11893</v>
      </c>
      <c r="K35" s="7">
        <v>18.142847</v>
      </c>
      <c r="L35" s="4">
        <v>-0.2735265417677772</v>
      </c>
      <c r="M35" s="4">
        <v>0.1745</v>
      </c>
      <c r="N35" s="4">
        <v>0.2191</v>
      </c>
      <c r="O35" s="3" t="s">
        <v>209</v>
      </c>
      <c r="P35" s="5">
        <v>85</v>
      </c>
      <c r="Q35" s="5">
        <v>145.26773</v>
      </c>
      <c r="R35" s="5">
        <v>140</v>
      </c>
      <c r="S35" s="5">
        <v>240</v>
      </c>
      <c r="T35" s="7">
        <v>1.67</v>
      </c>
      <c r="U35" s="7">
        <v>4.1224</v>
      </c>
      <c r="V35" s="7">
        <v>5.02558</v>
      </c>
    </row>
    <row r="36" spans="1:22" ht="18" customHeight="1">
      <c r="A36" s="3" t="s">
        <v>123</v>
      </c>
      <c r="B36" s="4">
        <v>0.005262820000000001</v>
      </c>
      <c r="C36" s="4">
        <v>0.7653320134025747</v>
      </c>
      <c r="D36" s="4">
        <v>-0.09068863833657592</v>
      </c>
      <c r="E36" s="4">
        <v>0.08944157771441241</v>
      </c>
      <c r="F36" s="4">
        <v>0.09875122867663744</v>
      </c>
      <c r="G36" s="4">
        <v>0.2124151488845656</v>
      </c>
      <c r="H36" s="15"/>
      <c r="I36" s="6">
        <v>1649.599975585938</v>
      </c>
      <c r="J36" s="7">
        <v>118.42067</v>
      </c>
      <c r="K36" s="7">
        <v>54.69703</v>
      </c>
      <c r="L36" s="4">
        <v>0.5379547680506784</v>
      </c>
      <c r="M36" s="4">
        <v>0.3518</v>
      </c>
      <c r="N36" s="4">
        <v>0.2555</v>
      </c>
      <c r="O36" s="3" t="s">
        <v>123</v>
      </c>
      <c r="P36" s="5">
        <v>1500</v>
      </c>
      <c r="Q36" s="5">
        <v>1797.1428</v>
      </c>
      <c r="R36" s="5">
        <v>1812.5</v>
      </c>
      <c r="S36" s="5">
        <v>2000</v>
      </c>
      <c r="T36" s="7">
        <v>12.86</v>
      </c>
      <c r="U36" s="7">
        <v>24.02205</v>
      </c>
      <c r="V36" s="7">
        <v>30.15886</v>
      </c>
    </row>
    <row r="37" spans="1:22" ht="18" customHeight="1">
      <c r="A37" s="3" t="s">
        <v>210</v>
      </c>
      <c r="B37" s="4">
        <v>0.00522438</v>
      </c>
      <c r="C37" s="4">
        <v>0.966995282797865</v>
      </c>
      <c r="D37" s="4">
        <v>-0.5591447397187476</v>
      </c>
      <c r="E37" s="4">
        <v>-0.2400909746355463</v>
      </c>
      <c r="F37" s="4">
        <v>-0.2786004831761324</v>
      </c>
      <c r="G37" s="4">
        <v>0.04202152430114214</v>
      </c>
      <c r="H37" s="15"/>
      <c r="I37" s="6">
        <v>249.5149993896484</v>
      </c>
      <c r="J37" s="7">
        <v>28.779123</v>
      </c>
      <c r="K37" s="7">
        <v>16.930332</v>
      </c>
      <c r="L37" s="4">
        <v>0.09988561777316196</v>
      </c>
      <c r="M37" s="4">
        <v>0.2568</v>
      </c>
      <c r="N37" s="4">
        <v>0.1385</v>
      </c>
      <c r="O37" s="3" t="s">
        <v>210</v>
      </c>
      <c r="P37" s="5">
        <v>110</v>
      </c>
      <c r="Q37" s="5">
        <v>189.6087</v>
      </c>
      <c r="R37" s="5">
        <v>180</v>
      </c>
      <c r="S37" s="5">
        <v>260</v>
      </c>
      <c r="T37" s="7">
        <v>8.68</v>
      </c>
      <c r="U37" s="7">
        <v>12.94478</v>
      </c>
      <c r="V37" s="7">
        <v>14.73775</v>
      </c>
    </row>
    <row r="38" spans="1:22" ht="18" customHeight="1">
      <c r="A38" s="3" t="s">
        <v>103</v>
      </c>
      <c r="B38" s="4">
        <v>0.00521074</v>
      </c>
      <c r="C38" s="4">
        <v>1.383605687982504</v>
      </c>
      <c r="D38" s="4">
        <v>-0.5907998226732629</v>
      </c>
      <c r="E38" s="4">
        <v>-0.2994052221475267</v>
      </c>
      <c r="F38" s="4">
        <v>-0.3094747007611313</v>
      </c>
      <c r="G38" s="4">
        <v>0.1253004876485269</v>
      </c>
      <c r="H38" s="15"/>
      <c r="I38" s="6">
        <v>586.510009765625</v>
      </c>
      <c r="J38" s="7">
        <v>368.8742</v>
      </c>
      <c r="K38" s="7">
        <v>67.78957</v>
      </c>
      <c r="L38" s="4">
        <v>1.809586750590009</v>
      </c>
      <c r="M38" s="4">
        <v>1.3639</v>
      </c>
      <c r="N38" s="4">
        <v>0.38639998</v>
      </c>
      <c r="O38" s="3" t="s">
        <v>103</v>
      </c>
      <c r="P38" s="5">
        <v>240</v>
      </c>
      <c r="Q38" s="5">
        <v>410.90585</v>
      </c>
      <c r="R38" s="5">
        <v>405</v>
      </c>
      <c r="S38" s="5">
        <v>660</v>
      </c>
      <c r="T38" s="7">
        <v>0.85</v>
      </c>
      <c r="U38" s="7">
        <v>6.24071</v>
      </c>
      <c r="V38" s="7">
        <v>8.65192</v>
      </c>
    </row>
    <row r="39" spans="1:22" ht="18" customHeight="1">
      <c r="A39" s="3" t="s">
        <v>184</v>
      </c>
      <c r="B39" s="4">
        <v>0.00500688</v>
      </c>
      <c r="C39" s="4">
        <v>0.3699843639681168</v>
      </c>
      <c r="D39" s="4">
        <v>-0.3368370254930589</v>
      </c>
      <c r="E39" s="4">
        <v>-0.01520298285719257</v>
      </c>
      <c r="F39" s="4">
        <v>-0.005255538239588464</v>
      </c>
      <c r="G39" s="4">
        <v>0.1439561310244732</v>
      </c>
      <c r="H39" s="15"/>
      <c r="I39" s="6">
        <v>301.5849914550781</v>
      </c>
      <c r="J39" s="7">
        <v>28.832216</v>
      </c>
      <c r="K39" s="7">
        <v>17.118382</v>
      </c>
      <c r="L39" s="4">
        <v>0.07239406340566457</v>
      </c>
      <c r="M39" s="4">
        <v>0.2494</v>
      </c>
      <c r="N39" s="4">
        <v>0.19389999</v>
      </c>
      <c r="O39" s="3" t="s">
        <v>184</v>
      </c>
      <c r="P39" s="5">
        <v>200</v>
      </c>
      <c r="Q39" s="5">
        <v>297</v>
      </c>
      <c r="R39" s="5">
        <v>300</v>
      </c>
      <c r="S39" s="5">
        <v>345</v>
      </c>
      <c r="T39" s="7">
        <v>7.95</v>
      </c>
      <c r="U39" s="7">
        <v>14.7559</v>
      </c>
      <c r="V39" s="7">
        <v>17.61761</v>
      </c>
    </row>
    <row r="40" spans="1:22" ht="18" customHeight="1">
      <c r="A40" s="3" t="s">
        <v>211</v>
      </c>
      <c r="B40" s="4">
        <v>0.00486653</v>
      </c>
      <c r="C40" s="4">
        <v>0.4727786465504564</v>
      </c>
      <c r="D40" s="4">
        <v>-0.3897122767005202</v>
      </c>
      <c r="E40" s="4">
        <v>-0.08020921702721262</v>
      </c>
      <c r="F40" s="4">
        <v>-0.04969483086223869</v>
      </c>
      <c r="G40" s="4">
        <v>0.1333914861276053</v>
      </c>
      <c r="H40" s="15"/>
      <c r="I40" s="6">
        <v>114.6999969482422</v>
      </c>
      <c r="J40" s="7">
        <v>44.457363</v>
      </c>
      <c r="K40" s="7">
        <v>33.540756</v>
      </c>
      <c r="L40" s="4">
        <v>-0.1618996974975264</v>
      </c>
      <c r="M40" s="4">
        <v>0.1362</v>
      </c>
      <c r="N40" s="4">
        <v>0.09050000499999999</v>
      </c>
      <c r="O40" s="3" t="s">
        <v>211</v>
      </c>
      <c r="P40" s="5">
        <v>70</v>
      </c>
      <c r="Q40" s="5">
        <v>105.5</v>
      </c>
      <c r="R40" s="5">
        <v>109</v>
      </c>
      <c r="S40" s="5">
        <v>130</v>
      </c>
      <c r="T40" s="7">
        <v>2.42</v>
      </c>
      <c r="U40" s="7">
        <v>3.13604</v>
      </c>
      <c r="V40" s="7">
        <v>3.41972</v>
      </c>
    </row>
    <row r="41" spans="1:22" ht="18" customHeight="1">
      <c r="A41" s="3" t="s">
        <v>212</v>
      </c>
      <c r="B41" s="4">
        <v>0.0044348</v>
      </c>
      <c r="C41" s="4">
        <v>0.4960005137593162</v>
      </c>
      <c r="D41" s="4">
        <v>-0.3953627675778021</v>
      </c>
      <c r="E41" s="4">
        <v>0.09869316092700742</v>
      </c>
      <c r="F41" s="4">
        <v>0.09934042258581433</v>
      </c>
      <c r="G41" s="4">
        <v>0.5990406146702754</v>
      </c>
      <c r="H41" s="15"/>
      <c r="I41" s="6">
        <v>200.1199951171875</v>
      </c>
      <c r="J41" s="7">
        <v>526.6316</v>
      </c>
      <c r="K41" s="7">
        <v>70.61597</v>
      </c>
      <c r="L41" s="4">
        <v>-0.05319222397772594</v>
      </c>
      <c r="M41" s="4">
        <v>0.18020001</v>
      </c>
      <c r="N41" s="4">
        <v>0.1719</v>
      </c>
      <c r="O41" s="3" t="s">
        <v>212</v>
      </c>
      <c r="P41" s="5">
        <v>121</v>
      </c>
      <c r="Q41" s="5">
        <v>219.87047</v>
      </c>
      <c r="R41" s="5">
        <v>220</v>
      </c>
      <c r="S41" s="5">
        <v>320</v>
      </c>
      <c r="T41" s="7">
        <v>0.31</v>
      </c>
      <c r="U41" s="7">
        <v>2.41941</v>
      </c>
      <c r="V41" s="7">
        <v>2.83541</v>
      </c>
    </row>
    <row r="42" spans="1:22" ht="18" customHeight="1">
      <c r="A42" s="3" t="s">
        <v>213</v>
      </c>
      <c r="B42" s="4">
        <v>0.00435553</v>
      </c>
      <c r="C42" s="4">
        <v>1.733185099144392</v>
      </c>
      <c r="D42" s="4">
        <v>-0.4314467154804456</v>
      </c>
      <c r="E42" s="4">
        <v>0.02443901789452974</v>
      </c>
      <c r="F42" s="4">
        <v>0.04234768828584978</v>
      </c>
      <c r="G42" s="4">
        <v>0.3266243305456269</v>
      </c>
      <c r="H42" s="15"/>
      <c r="I42" s="6">
        <v>1055.31005859375</v>
      </c>
      <c r="J42" s="7">
        <v>185.4675</v>
      </c>
      <c r="K42" s="7">
        <v>58.628174</v>
      </c>
      <c r="L42" s="4">
        <v>3.305957977900246</v>
      </c>
      <c r="M42" s="4">
        <v>0.030031</v>
      </c>
      <c r="N42" s="4">
        <v>1.1827999</v>
      </c>
      <c r="O42" s="3" t="s">
        <v>213</v>
      </c>
      <c r="P42" s="5">
        <v>600</v>
      </c>
      <c r="Q42" s="5">
        <v>1081.1008</v>
      </c>
      <c r="R42" s="5">
        <v>1100</v>
      </c>
      <c r="S42" s="5">
        <v>1400</v>
      </c>
      <c r="T42" s="7">
        <v>0.37</v>
      </c>
      <c r="U42" s="7">
        <v>8.246359999999999</v>
      </c>
      <c r="V42" s="7">
        <v>18.00005</v>
      </c>
    </row>
    <row r="43" spans="1:22" ht="18" customHeight="1">
      <c r="A43" s="3" t="s">
        <v>214</v>
      </c>
      <c r="B43" s="4">
        <v>0.00429335</v>
      </c>
      <c r="C43" s="4">
        <v>0.03636450950948178</v>
      </c>
      <c r="D43" s="4">
        <v>0.1933931981602743</v>
      </c>
      <c r="E43" s="4">
        <v>0.2861869843725602</v>
      </c>
      <c r="F43" s="4">
        <v>0.2924194422629354</v>
      </c>
      <c r="G43" s="4">
        <v>0.3457412660105221</v>
      </c>
      <c r="H43" s="15"/>
      <c r="I43" s="6">
        <v>393.8349914550781</v>
      </c>
      <c r="J43" s="7">
        <v>31.760887</v>
      </c>
      <c r="K43" s="7">
        <v>21.338715</v>
      </c>
      <c r="L43" s="4">
        <v>-0.1561786769775514</v>
      </c>
      <c r="M43" s="4">
        <v>0.102299996</v>
      </c>
      <c r="N43" s="4">
        <v>0.0887</v>
      </c>
      <c r="O43" s="3" t="s">
        <v>214</v>
      </c>
      <c r="P43" s="5">
        <v>470</v>
      </c>
      <c r="Q43" s="5">
        <v>506.54544</v>
      </c>
      <c r="R43" s="5">
        <v>509</v>
      </c>
      <c r="S43" s="5">
        <v>530</v>
      </c>
      <c r="T43" s="7">
        <v>12.75</v>
      </c>
      <c r="U43" s="7">
        <v>16.95286</v>
      </c>
      <c r="V43" s="7">
        <v>18.45636</v>
      </c>
    </row>
    <row r="44" spans="1:22" ht="18" customHeight="1">
      <c r="A44" s="3" t="s">
        <v>215</v>
      </c>
      <c r="B44" s="4">
        <v>0.00424228</v>
      </c>
      <c r="C44" s="4">
        <v>0.9558226142428503</v>
      </c>
      <c r="D44" s="4">
        <v>-0.3948562978017709</v>
      </c>
      <c r="E44" s="4">
        <v>-0.01655531672680377</v>
      </c>
      <c r="F44" s="4">
        <v>-0.0001973615855345168</v>
      </c>
      <c r="G44" s="4">
        <v>0.1982841685785903</v>
      </c>
      <c r="H44" s="15"/>
      <c r="I44" s="6">
        <v>380.0750122070312</v>
      </c>
      <c r="J44" s="7">
        <v>180.13034</v>
      </c>
      <c r="K44" s="7">
        <v>47.417503</v>
      </c>
      <c r="L44" s="4">
        <v>0.8348743815859372</v>
      </c>
      <c r="M44" s="4">
        <v>0.5441</v>
      </c>
      <c r="N44" s="4">
        <v>0.4706</v>
      </c>
      <c r="O44" s="3" t="s">
        <v>215</v>
      </c>
      <c r="P44" s="5">
        <v>230</v>
      </c>
      <c r="Q44" s="5">
        <v>373.78275</v>
      </c>
      <c r="R44" s="5">
        <v>380</v>
      </c>
      <c r="S44" s="5">
        <v>455.43787</v>
      </c>
      <c r="T44" s="7">
        <v>-0.52</v>
      </c>
      <c r="U44" s="7">
        <v>5.45067</v>
      </c>
      <c r="V44" s="7">
        <v>8.015499999999999</v>
      </c>
    </row>
    <row r="45" spans="1:22" ht="18" customHeight="1">
      <c r="A45" s="3" t="s">
        <v>216</v>
      </c>
      <c r="B45" s="4">
        <v>0.00417097</v>
      </c>
      <c r="C45" s="4">
        <v>0.7832906248739759</v>
      </c>
      <c r="D45" s="4">
        <v>-0.4028392339699466</v>
      </c>
      <c r="E45" s="4">
        <v>-0.1445567794922142</v>
      </c>
      <c r="F45" s="4">
        <v>-0.1314025221381042</v>
      </c>
      <c r="G45" s="4">
        <v>0.04231697343427498</v>
      </c>
      <c r="H45" s="15"/>
      <c r="I45" s="6">
        <v>368.4100036621094</v>
      </c>
      <c r="J45" s="7">
        <v>64.746925</v>
      </c>
      <c r="K45" s="7">
        <v>35.65004</v>
      </c>
      <c r="L45" s="4">
        <v>0.2633051919159912</v>
      </c>
      <c r="M45" s="4">
        <v>0.24440001</v>
      </c>
      <c r="N45" s="4">
        <v>0.1599</v>
      </c>
      <c r="O45" s="3" t="s">
        <v>216</v>
      </c>
      <c r="P45" s="5">
        <v>220</v>
      </c>
      <c r="Q45" s="5">
        <v>315.15384</v>
      </c>
      <c r="R45" s="5">
        <v>320</v>
      </c>
      <c r="S45" s="5">
        <v>384</v>
      </c>
      <c r="T45" s="7">
        <v>4.89</v>
      </c>
      <c r="U45" s="7">
        <v>8.90973</v>
      </c>
      <c r="V45" s="7">
        <v>10.33407</v>
      </c>
    </row>
    <row r="46" spans="1:22" ht="18" customHeight="1">
      <c r="A46" s="3" t="s">
        <v>127</v>
      </c>
      <c r="B46" s="4">
        <v>0.00408379</v>
      </c>
      <c r="C46" s="4">
        <v>-0.1153833760423468</v>
      </c>
      <c r="D46" s="4">
        <v>0.06962275298595411</v>
      </c>
      <c r="E46" s="4">
        <v>0.2858503958471879</v>
      </c>
      <c r="F46" s="4">
        <v>0.2640996171652183</v>
      </c>
      <c r="G46" s="4">
        <v>0.7502917776133793</v>
      </c>
      <c r="H46" s="15"/>
      <c r="I46" s="6">
        <v>205.6799926757812</v>
      </c>
      <c r="J46" s="7">
        <v>21.009192</v>
      </c>
      <c r="K46" s="7">
        <v>16.294207</v>
      </c>
      <c r="L46" s="4">
        <v>0.6373702221659709</v>
      </c>
      <c r="M46" s="4">
        <v>0.2827</v>
      </c>
      <c r="N46" s="4">
        <v>0.1234</v>
      </c>
      <c r="O46" s="3" t="s">
        <v>127</v>
      </c>
      <c r="P46" s="5">
        <v>220</v>
      </c>
      <c r="Q46" s="5">
        <v>264.4737</v>
      </c>
      <c r="R46" s="5">
        <v>260</v>
      </c>
      <c r="S46" s="5">
        <v>360</v>
      </c>
      <c r="T46" s="7">
        <v>6.16</v>
      </c>
      <c r="U46" s="7">
        <v>11.2361</v>
      </c>
      <c r="V46" s="7">
        <v>12.62289</v>
      </c>
    </row>
    <row r="47" spans="1:22" ht="18" customHeight="1">
      <c r="A47" s="3" t="s">
        <v>128</v>
      </c>
      <c r="B47" s="4">
        <v>0.0038028</v>
      </c>
      <c r="C47" s="4">
        <v>0.7592388067132914</v>
      </c>
      <c r="D47" s="4">
        <v>-0.2602638293346675</v>
      </c>
      <c r="E47" s="4">
        <v>0.01242325221844931</v>
      </c>
      <c r="F47" s="4">
        <v>0.06028851128697643</v>
      </c>
      <c r="G47" s="4">
        <v>0.2876888896766898</v>
      </c>
      <c r="H47" s="15"/>
      <c r="I47" s="6">
        <v>364.9949951171875</v>
      </c>
      <c r="J47" s="7">
        <v>67.59166999999999</v>
      </c>
      <c r="K47" s="7">
        <v>38.367134</v>
      </c>
      <c r="L47" s="4">
        <v>0.5360536026224678</v>
      </c>
      <c r="M47" s="4">
        <v>0.8128</v>
      </c>
      <c r="N47" s="4">
        <v>0.3252</v>
      </c>
      <c r="O47" s="3" t="s">
        <v>128</v>
      </c>
      <c r="P47" s="5">
        <v>270</v>
      </c>
      <c r="Q47" s="5">
        <v>369.52942</v>
      </c>
      <c r="R47" s="5">
        <v>387</v>
      </c>
      <c r="S47" s="5">
        <v>470</v>
      </c>
      <c r="T47" s="7">
        <v>3.47</v>
      </c>
      <c r="U47" s="7">
        <v>7.17873</v>
      </c>
      <c r="V47" s="7">
        <v>9.51322</v>
      </c>
    </row>
    <row r="48" spans="1:22" ht="18" customHeight="1">
      <c r="A48" s="3" t="s">
        <v>185</v>
      </c>
      <c r="B48" s="4">
        <v>0.00361908</v>
      </c>
      <c r="C48" s="4">
        <v>0.5109976517981836</v>
      </c>
      <c r="D48" s="4">
        <v>-0.2322260134672856</v>
      </c>
      <c r="E48" s="4">
        <v>0.1510467606098453</v>
      </c>
      <c r="F48" s="4">
        <v>0.2284383784523432</v>
      </c>
      <c r="G48" s="4">
        <v>0.3819931757588859</v>
      </c>
      <c r="H48" s="15"/>
      <c r="I48" s="6">
        <v>97.68499755859375</v>
      </c>
      <c r="J48" s="7">
        <v>444.0227</v>
      </c>
      <c r="K48" s="7">
        <v>23.907948</v>
      </c>
      <c r="L48" s="4">
        <v>0.1556102917689925</v>
      </c>
      <c r="M48" s="4">
        <v>0.92660004</v>
      </c>
      <c r="N48" s="4">
        <v>0.2932</v>
      </c>
      <c r="O48" s="3" t="s">
        <v>185</v>
      </c>
      <c r="P48" s="5">
        <v>75</v>
      </c>
      <c r="Q48" s="5">
        <v>112.44</v>
      </c>
      <c r="R48" s="5">
        <v>120</v>
      </c>
      <c r="S48" s="5">
        <v>135</v>
      </c>
      <c r="T48" s="7">
        <v>-0.01</v>
      </c>
      <c r="U48" s="7">
        <v>3.15956</v>
      </c>
      <c r="V48" s="7">
        <v>4.08588</v>
      </c>
    </row>
    <row r="49" spans="1:22" ht="18" customHeight="1">
      <c r="A49" s="3" t="s">
        <v>217</v>
      </c>
      <c r="B49" s="4">
        <v>0.00349851</v>
      </c>
      <c r="C49" s="4">
        <v>-0.1754612732874401</v>
      </c>
      <c r="D49" s="4">
        <v>0.04052111456412777</v>
      </c>
      <c r="E49" s="4">
        <v>0.376991931821959</v>
      </c>
      <c r="F49" s="4">
        <v>0.3767870845147299</v>
      </c>
      <c r="G49" s="4">
        <v>0.9287708465091147</v>
      </c>
      <c r="H49" s="15"/>
      <c r="I49" s="6">
        <v>236.4199981689453</v>
      </c>
      <c r="J49" s="7">
        <v>45.20459</v>
      </c>
      <c r="K49" s="7">
        <v>16.762857</v>
      </c>
      <c r="L49" s="4">
        <v>0.009170879497602424</v>
      </c>
      <c r="M49" s="4">
        <v>0.191</v>
      </c>
      <c r="N49" s="4">
        <v>0.1354</v>
      </c>
      <c r="O49" s="3" t="s">
        <v>217</v>
      </c>
      <c r="P49" s="5">
        <v>246</v>
      </c>
      <c r="Q49" s="5">
        <v>325.54843</v>
      </c>
      <c r="R49" s="5">
        <v>325.5</v>
      </c>
      <c r="S49" s="5">
        <v>456</v>
      </c>
      <c r="T49" s="7">
        <v>5.23</v>
      </c>
      <c r="U49" s="7">
        <v>12.42241</v>
      </c>
      <c r="V49" s="7">
        <v>14.1038</v>
      </c>
    </row>
    <row r="50" spans="1:22" ht="18" customHeight="1">
      <c r="A50" s="3" t="s">
        <v>218</v>
      </c>
      <c r="B50" s="4">
        <v>0.00281168</v>
      </c>
      <c r="C50" s="4">
        <v>0.2881452679857934</v>
      </c>
      <c r="D50" s="4">
        <v>-0.3212669800414525</v>
      </c>
      <c r="E50" s="4">
        <v>-0.1248597436126477</v>
      </c>
      <c r="F50" s="4">
        <v>-0.127343260053296</v>
      </c>
      <c r="G50" s="4">
        <v>0.2281835599249908</v>
      </c>
      <c r="H50" s="15"/>
      <c r="I50" s="6">
        <v>30.94000053405762</v>
      </c>
      <c r="J50" s="9" t="s">
        <v>79</v>
      </c>
      <c r="K50" s="7">
        <v>11.377637</v>
      </c>
      <c r="L50" s="4">
        <v>0.1489268220794002</v>
      </c>
      <c r="M50" s="4">
        <v>0.24530001</v>
      </c>
      <c r="N50" s="4">
        <v>0.1254</v>
      </c>
      <c r="O50" s="3" t="s">
        <v>218</v>
      </c>
      <c r="P50" s="5">
        <v>21</v>
      </c>
      <c r="Q50" s="5">
        <v>27.07684</v>
      </c>
      <c r="R50" s="5">
        <v>27</v>
      </c>
      <c r="S50" s="5">
        <v>38</v>
      </c>
      <c r="T50" s="7">
        <v>-0.04</v>
      </c>
      <c r="U50" s="7">
        <v>2.41593</v>
      </c>
      <c r="V50" s="7">
        <v>2.71893</v>
      </c>
    </row>
    <row r="51" spans="1:22" ht="18" customHeight="1">
      <c r="A51" s="3" t="s">
        <v>186</v>
      </c>
      <c r="B51" s="4">
        <v>0.00274449</v>
      </c>
      <c r="C51" s="4">
        <v>0.8730157939902035</v>
      </c>
      <c r="D51" s="4">
        <v>-0.3598795269588809</v>
      </c>
      <c r="E51" s="4">
        <v>-0.02618585398690976</v>
      </c>
      <c r="F51" s="4">
        <v>-0.04923282680657315</v>
      </c>
      <c r="G51" s="4">
        <v>0.1766920460314689</v>
      </c>
      <c r="H51" s="15"/>
      <c r="I51" s="6">
        <v>106.2300033569336</v>
      </c>
      <c r="J51" s="7">
        <v>78.1103</v>
      </c>
      <c r="K51" s="7">
        <v>24.905636</v>
      </c>
      <c r="L51" s="4">
        <v>-0.1225084697902059</v>
      </c>
      <c r="M51" s="4">
        <v>0.3147</v>
      </c>
      <c r="N51" s="4">
        <v>0.3805</v>
      </c>
      <c r="O51" s="3" t="s">
        <v>186</v>
      </c>
      <c r="P51" s="5">
        <v>68</v>
      </c>
      <c r="Q51" s="5">
        <v>103.44828</v>
      </c>
      <c r="R51" s="5">
        <v>101</v>
      </c>
      <c r="S51" s="5">
        <v>125</v>
      </c>
      <c r="T51" s="7">
        <v>0.29</v>
      </c>
      <c r="U51" s="7">
        <v>3.08965</v>
      </c>
      <c r="V51" s="7">
        <v>4.2653</v>
      </c>
    </row>
    <row r="52" spans="1:22" ht="18" customHeight="1">
      <c r="A52" s="3" t="s">
        <v>142</v>
      </c>
      <c r="B52" s="4">
        <v>0.00253122</v>
      </c>
      <c r="C52" s="4">
        <v>0.53220077555449</v>
      </c>
      <c r="D52" s="4">
        <v>-0.258575252341282</v>
      </c>
      <c r="E52" s="4">
        <v>-0.155373272813695</v>
      </c>
      <c r="F52" s="4">
        <v>-0.1852475300453649</v>
      </c>
      <c r="G52" s="4">
        <v>-0.03587624388701505</v>
      </c>
      <c r="H52" s="15"/>
      <c r="I52" s="6">
        <v>368.2099914550781</v>
      </c>
      <c r="J52" s="7">
        <v>49.62399</v>
      </c>
      <c r="K52" s="7">
        <v>25.279303</v>
      </c>
      <c r="L52" s="4">
        <v>0.599184608508782</v>
      </c>
      <c r="M52" s="4">
        <v>0.2669</v>
      </c>
      <c r="N52" s="4">
        <v>0.1792</v>
      </c>
      <c r="O52" s="3" t="s">
        <v>142</v>
      </c>
      <c r="P52" s="5">
        <v>273</v>
      </c>
      <c r="Q52" s="5">
        <v>311</v>
      </c>
      <c r="R52" s="5">
        <v>300</v>
      </c>
      <c r="S52" s="5">
        <v>355</v>
      </c>
      <c r="T52" s="7">
        <v>5.92</v>
      </c>
      <c r="U52" s="7">
        <v>12.35264</v>
      </c>
      <c r="V52" s="7">
        <v>14.56567</v>
      </c>
    </row>
    <row r="53" spans="1:22" ht="18" customHeight="1">
      <c r="A53" s="3" t="s">
        <v>219</v>
      </c>
      <c r="B53" s="4">
        <v>0.00247017</v>
      </c>
      <c r="C53" s="4">
        <v>-0.2426778351678658</v>
      </c>
      <c r="D53" s="4">
        <v>0.1119573495811119</v>
      </c>
      <c r="E53" s="4">
        <v>0.3823439451637471</v>
      </c>
      <c r="F53" s="4">
        <v>0.3892916984006094</v>
      </c>
      <c r="G53" s="4">
        <v>0.6755521706016756</v>
      </c>
      <c r="H53" s="15"/>
      <c r="I53" s="6">
        <v>328.25</v>
      </c>
      <c r="J53" s="7">
        <v>20.515625</v>
      </c>
      <c r="K53" s="7">
        <v>13.738581</v>
      </c>
      <c r="L53" s="4">
        <v>-0.12829045207389</v>
      </c>
      <c r="M53" s="4">
        <v>0.097600006</v>
      </c>
      <c r="N53" s="4">
        <v>0.08840000000000001</v>
      </c>
      <c r="O53" s="3" t="s">
        <v>219</v>
      </c>
      <c r="P53" s="5">
        <v>365</v>
      </c>
      <c r="Q53" s="5">
        <v>453.7544</v>
      </c>
      <c r="R53" s="5">
        <v>456.035</v>
      </c>
      <c r="S53" s="5">
        <v>550</v>
      </c>
      <c r="T53" s="7">
        <v>14.2</v>
      </c>
      <c r="U53" s="7">
        <v>21.95284</v>
      </c>
      <c r="V53" s="7">
        <v>23.89257</v>
      </c>
    </row>
    <row r="54" spans="1:22" ht="18" customHeight="1">
      <c r="A54" s="3" t="s">
        <v>220</v>
      </c>
      <c r="B54" s="4">
        <v>0.00208281</v>
      </c>
      <c r="C54" s="4">
        <v>0.8383165827565693</v>
      </c>
      <c r="D54" s="4">
        <v>-0.1673071735467401</v>
      </c>
      <c r="E54" s="4">
        <v>-0.05201124373013488</v>
      </c>
      <c r="F54" s="4">
        <v>-0.03920058486162314</v>
      </c>
      <c r="G54" s="4">
        <v>0.08890600382349367</v>
      </c>
      <c r="H54" s="15"/>
      <c r="I54" s="6">
        <v>156.1199951171875</v>
      </c>
      <c r="J54" s="7">
        <v>47.30909</v>
      </c>
      <c r="K54" s="7">
        <v>35.57885</v>
      </c>
      <c r="L54" s="4">
        <v>-0.142582622430985</v>
      </c>
      <c r="M54" s="4">
        <v>0.1364</v>
      </c>
      <c r="N54" s="4">
        <v>0.1526</v>
      </c>
      <c r="O54" s="3" t="s">
        <v>220</v>
      </c>
      <c r="P54" s="5">
        <v>130</v>
      </c>
      <c r="Q54" s="5">
        <v>148</v>
      </c>
      <c r="R54" s="5">
        <v>150</v>
      </c>
      <c r="S54" s="5">
        <v>170</v>
      </c>
      <c r="T54" s="7">
        <v>3.3</v>
      </c>
      <c r="U54" s="7">
        <v>3.80697</v>
      </c>
      <c r="V54" s="7">
        <v>4.388</v>
      </c>
    </row>
    <row r="55" spans="1:22" ht="18" customHeight="1">
      <c r="A55" s="3" t="s">
        <v>221</v>
      </c>
      <c r="B55" s="4">
        <v>0.00196906</v>
      </c>
      <c r="C55" s="4">
        <v>0.2176493800596928</v>
      </c>
      <c r="D55" s="4">
        <v>-0.02798884384621592</v>
      </c>
      <c r="E55" s="4">
        <v>0.1536999880476682</v>
      </c>
      <c r="F55" s="4">
        <v>0.1873100441617883</v>
      </c>
      <c r="G55" s="4">
        <v>0.2712132872825548</v>
      </c>
      <c r="H55" s="15"/>
      <c r="I55" s="6">
        <v>631.6799926757812</v>
      </c>
      <c r="J55" s="7">
        <v>31.967611</v>
      </c>
      <c r="K55" s="7">
        <v>24.263542</v>
      </c>
      <c r="L55" s="4">
        <v>0.1151554005033244</v>
      </c>
      <c r="M55" s="4">
        <v>0.09689999000000001</v>
      </c>
      <c r="N55" s="4">
        <v>0.0793</v>
      </c>
      <c r="O55" s="3" t="s">
        <v>221</v>
      </c>
      <c r="P55" s="5">
        <v>614</v>
      </c>
      <c r="Q55" s="5">
        <v>728.7692</v>
      </c>
      <c r="R55" s="5">
        <v>750</v>
      </c>
      <c r="S55" s="5">
        <v>803</v>
      </c>
      <c r="T55" s="7">
        <v>18.88</v>
      </c>
      <c r="U55" s="7">
        <v>24.12116</v>
      </c>
      <c r="V55" s="7">
        <v>26.03412</v>
      </c>
    </row>
    <row r="56" spans="1:22" ht="18" customHeight="1">
      <c r="A56" s="3" t="s">
        <v>222</v>
      </c>
      <c r="B56" s="4">
        <v>0.00183773</v>
      </c>
      <c r="C56" s="4">
        <v>-0.4126536435689419</v>
      </c>
      <c r="D56" s="4">
        <v>-0.04856459512861244</v>
      </c>
      <c r="E56" s="4">
        <v>0.4827262011050786</v>
      </c>
      <c r="F56" s="4">
        <v>0.4685198640406198</v>
      </c>
      <c r="G56" s="4">
        <v>1.482005404012315</v>
      </c>
      <c r="H56" s="15"/>
      <c r="I56" s="6">
        <v>120.870002746582</v>
      </c>
      <c r="J56" s="7">
        <v>46.667957</v>
      </c>
      <c r="K56" s="7">
        <v>9.711594</v>
      </c>
      <c r="L56" s="4">
        <v>-0.1471569174773605</v>
      </c>
      <c r="M56" s="4">
        <v>0.14</v>
      </c>
      <c r="N56" s="4">
        <v>0.18290001</v>
      </c>
      <c r="O56" s="3" t="s">
        <v>222</v>
      </c>
      <c r="P56" s="5">
        <v>115</v>
      </c>
      <c r="Q56" s="5">
        <v>179.21712</v>
      </c>
      <c r="R56" s="5">
        <v>177.5</v>
      </c>
      <c r="S56" s="5">
        <v>300</v>
      </c>
      <c r="T56" s="7">
        <v>2.59</v>
      </c>
      <c r="U56" s="7">
        <v>10.52199</v>
      </c>
      <c r="V56" s="7">
        <v>12.44595</v>
      </c>
    </row>
    <row r="57" spans="1:22" ht="18" customHeight="1">
      <c r="A57" s="3" t="s">
        <v>223</v>
      </c>
      <c r="B57" s="4">
        <v>0.00180287</v>
      </c>
      <c r="C57" s="4">
        <v>-0.3310655113467366</v>
      </c>
      <c r="D57" s="4">
        <v>-0.3568283484216612</v>
      </c>
      <c r="E57" s="4">
        <v>0.4210004310950815</v>
      </c>
      <c r="F57" s="4">
        <v>0.4096102887137709</v>
      </c>
      <c r="G57" s="4">
        <v>1.18332668145405</v>
      </c>
      <c r="H57" s="15"/>
      <c r="I57" s="6">
        <v>1099.239990234375</v>
      </c>
      <c r="J57" s="7">
        <v>34.863304</v>
      </c>
      <c r="K57" s="7">
        <v>20.232935</v>
      </c>
      <c r="L57" s="4">
        <v>-0.1529620636629521</v>
      </c>
      <c r="M57" s="4">
        <v>0.4449</v>
      </c>
      <c r="N57" s="4">
        <v>0.2584</v>
      </c>
      <c r="O57" s="3" t="s">
        <v>223</v>
      </c>
      <c r="P57" s="5">
        <v>707</v>
      </c>
      <c r="Q57" s="5">
        <v>1562.0205</v>
      </c>
      <c r="R57" s="5">
        <v>1549.5</v>
      </c>
      <c r="S57" s="5">
        <v>2400</v>
      </c>
      <c r="T57" s="7">
        <v>26.54</v>
      </c>
      <c r="U57" s="7">
        <v>43.1726</v>
      </c>
      <c r="V57" s="7">
        <v>54.32924</v>
      </c>
    </row>
    <row r="58" spans="1:22" ht="18" customHeight="1">
      <c r="A58" s="3" t="s">
        <v>224</v>
      </c>
      <c r="B58" s="4">
        <v>0.00166819</v>
      </c>
      <c r="C58" s="4">
        <v>-0.3930268461225968</v>
      </c>
      <c r="D58" s="4">
        <v>0.1205052669013591</v>
      </c>
      <c r="E58" s="4">
        <v>0.4829612174328521</v>
      </c>
      <c r="F58" s="4">
        <v>0.4872160815236219</v>
      </c>
      <c r="G58" s="4">
        <v>0.8946725422150255</v>
      </c>
      <c r="H58" s="15"/>
      <c r="I58" s="6">
        <v>49.08499908447266</v>
      </c>
      <c r="J58" s="7">
        <v>10.647505</v>
      </c>
      <c r="K58" s="7">
        <v>7.96859</v>
      </c>
      <c r="L58" s="4">
        <v>0.1038103541129514</v>
      </c>
      <c r="M58" s="4">
        <v>0.0771</v>
      </c>
      <c r="N58" s="4">
        <v>0.0832</v>
      </c>
      <c r="O58" s="3" t="s">
        <v>224</v>
      </c>
      <c r="P58" s="5">
        <v>55</v>
      </c>
      <c r="Q58" s="5">
        <v>72.79115</v>
      </c>
      <c r="R58" s="5">
        <v>73</v>
      </c>
      <c r="S58" s="5">
        <v>93</v>
      </c>
      <c r="T58" s="7">
        <v>4.56</v>
      </c>
      <c r="U58" s="7">
        <v>5.68697</v>
      </c>
      <c r="V58" s="7">
        <v>6.16017</v>
      </c>
    </row>
    <row r="59" spans="1:22" ht="18" customHeight="1">
      <c r="A59" s="3" t="s">
        <v>225</v>
      </c>
      <c r="B59" s="4">
        <v>0.00160543</v>
      </c>
      <c r="C59" s="4">
        <v>0.1913775986071145</v>
      </c>
      <c r="D59" s="9" t="s">
        <v>79</v>
      </c>
      <c r="E59" s="9" t="s">
        <v>79</v>
      </c>
      <c r="F59" s="9" t="s">
        <v>79</v>
      </c>
      <c r="G59" s="9" t="s">
        <v>79</v>
      </c>
      <c r="H59" s="15"/>
      <c r="I59" s="6">
        <v>285.5</v>
      </c>
      <c r="J59" s="7">
        <v>31.54696</v>
      </c>
      <c r="K59" s="7">
        <v>26.801975</v>
      </c>
      <c r="L59" s="4">
        <v>0.1948786034853058</v>
      </c>
      <c r="M59" s="4">
        <v>0.1009</v>
      </c>
      <c r="N59" s="4">
        <v>0.0983</v>
      </c>
      <c r="O59" s="3" t="s">
        <v>225</v>
      </c>
      <c r="P59" s="9" t="s">
        <v>79</v>
      </c>
      <c r="Q59" s="9" t="s">
        <v>79</v>
      </c>
      <c r="R59" s="9" t="s">
        <v>79</v>
      </c>
      <c r="S59" s="9" t="s">
        <v>79</v>
      </c>
      <c r="T59" s="7">
        <v>8.81</v>
      </c>
      <c r="U59" s="7">
        <v>9.45726</v>
      </c>
      <c r="V59" s="7">
        <v>10.3108</v>
      </c>
    </row>
    <row r="60" spans="1:22" ht="18" customHeight="1">
      <c r="A60" s="3" t="s">
        <v>226</v>
      </c>
      <c r="B60" s="4">
        <v>0.00159301</v>
      </c>
      <c r="C60" s="4">
        <v>-0.1427243540933479</v>
      </c>
      <c r="D60" s="4">
        <v>-0.3622042155872245</v>
      </c>
      <c r="E60" s="4">
        <v>0.04685895170103538</v>
      </c>
      <c r="F60" s="4">
        <v>0.04173311454086681</v>
      </c>
      <c r="G60" s="4">
        <v>0.3308672034746583</v>
      </c>
      <c r="H60" s="15"/>
      <c r="I60" s="6">
        <v>235.1849975585938</v>
      </c>
      <c r="J60" s="7">
        <v>15.19283</v>
      </c>
      <c r="K60" s="7">
        <v>9.809265999999999</v>
      </c>
      <c r="L60" s="4">
        <v>0.4009224501325559</v>
      </c>
      <c r="M60" s="4">
        <v>0.2288</v>
      </c>
      <c r="N60" s="4">
        <v>0.3731</v>
      </c>
      <c r="O60" s="3" t="s">
        <v>226</v>
      </c>
      <c r="P60" s="5">
        <v>150</v>
      </c>
      <c r="Q60" s="5">
        <v>246.20552</v>
      </c>
      <c r="R60" s="5">
        <v>245</v>
      </c>
      <c r="S60" s="5">
        <v>313</v>
      </c>
      <c r="T60" s="7">
        <v>14.21</v>
      </c>
      <c r="U60" s="7">
        <v>17.3941</v>
      </c>
      <c r="V60" s="7">
        <v>23.31635</v>
      </c>
    </row>
    <row r="61" spans="1:22" ht="18" customHeight="1">
      <c r="A61" s="3" t="s">
        <v>227</v>
      </c>
      <c r="B61" s="4">
        <v>0.00157742</v>
      </c>
      <c r="C61" s="4">
        <v>0.1152918586125733</v>
      </c>
      <c r="D61" s="4">
        <v>-0.2551210389822411</v>
      </c>
      <c r="E61" s="4">
        <v>-0.008520986921019436</v>
      </c>
      <c r="F61" s="4">
        <v>-0.02657863048815601</v>
      </c>
      <c r="G61" s="4">
        <v>0.1596411097662838</v>
      </c>
      <c r="H61" s="15"/>
      <c r="I61" s="6">
        <v>118.1399993896484</v>
      </c>
      <c r="J61" s="7">
        <v>19.822147</v>
      </c>
      <c r="K61" s="7">
        <v>13.850477</v>
      </c>
      <c r="L61" s="4">
        <v>-0.05744257804037922</v>
      </c>
      <c r="M61" s="4">
        <v>0.1004</v>
      </c>
      <c r="N61" s="4">
        <v>0.0692</v>
      </c>
      <c r="O61" s="3" t="s">
        <v>227</v>
      </c>
      <c r="P61" s="5">
        <v>88</v>
      </c>
      <c r="Q61" s="5">
        <v>117.13333</v>
      </c>
      <c r="R61" s="5">
        <v>115</v>
      </c>
      <c r="S61" s="5">
        <v>137</v>
      </c>
      <c r="T61" s="7">
        <v>5.67</v>
      </c>
      <c r="U61" s="7">
        <v>7.9778</v>
      </c>
      <c r="V61" s="7">
        <v>8.529669999999999</v>
      </c>
    </row>
    <row r="62" spans="1:22" ht="18" customHeight="1">
      <c r="A62" s="3" t="s">
        <v>228</v>
      </c>
      <c r="B62" s="4">
        <v>0.0014343</v>
      </c>
      <c r="C62" s="4">
        <v>0.8190741500957439</v>
      </c>
      <c r="D62" s="4">
        <v>-0.4379961406314701</v>
      </c>
      <c r="E62" s="4">
        <v>-0.04407943163568373</v>
      </c>
      <c r="F62" s="4">
        <v>-0.03102782867494847</v>
      </c>
      <c r="G62" s="4">
        <v>0.2596638227225669</v>
      </c>
      <c r="H62" s="15"/>
      <c r="I62" s="6">
        <v>154.8032073974609</v>
      </c>
      <c r="J62" s="7">
        <v>52.475662</v>
      </c>
      <c r="K62" s="7">
        <v>21.315329</v>
      </c>
      <c r="L62" s="4">
        <v>-0.08562144545926287</v>
      </c>
      <c r="M62" s="4">
        <v>-0.0529</v>
      </c>
      <c r="N62" s="4">
        <v>0.0756</v>
      </c>
      <c r="O62" s="3" t="s">
        <v>228</v>
      </c>
      <c r="P62" s="5">
        <v>87</v>
      </c>
      <c r="Q62" s="5">
        <v>147.97957</v>
      </c>
      <c r="R62" s="5">
        <v>150</v>
      </c>
      <c r="S62" s="5">
        <v>195</v>
      </c>
      <c r="T62" s="7">
        <v>3.07</v>
      </c>
      <c r="U62" s="7">
        <v>6.74324</v>
      </c>
      <c r="V62" s="7">
        <v>7.25294</v>
      </c>
    </row>
    <row r="63" spans="1:22" ht="18" customHeight="1">
      <c r="A63" s="3" t="s">
        <v>229</v>
      </c>
      <c r="B63" s="4">
        <v>0.00140522</v>
      </c>
      <c r="C63" s="4">
        <v>-0.001003059036512988</v>
      </c>
      <c r="D63" s="4">
        <v>-0.2641986947578308</v>
      </c>
      <c r="E63" s="4">
        <v>-0.1064038054695687</v>
      </c>
      <c r="F63" s="4">
        <v>-0.1032421592361062</v>
      </c>
      <c r="G63" s="4">
        <v>0.2140721536495791</v>
      </c>
      <c r="H63" s="15"/>
      <c r="I63" s="6">
        <v>21.7450008392334</v>
      </c>
      <c r="J63" s="7">
        <v>8.236742</v>
      </c>
      <c r="K63" s="7">
        <v>7.311628</v>
      </c>
      <c r="L63" s="4">
        <v>-0.283420526676051</v>
      </c>
      <c r="M63" s="4">
        <v>-0.074499995</v>
      </c>
      <c r="N63" s="4">
        <v>0.03</v>
      </c>
      <c r="O63" s="3" t="s">
        <v>229</v>
      </c>
      <c r="P63" s="5">
        <v>16</v>
      </c>
      <c r="Q63" s="5">
        <v>19.43125</v>
      </c>
      <c r="R63" s="5">
        <v>19.5</v>
      </c>
      <c r="S63" s="5">
        <v>26.4</v>
      </c>
      <c r="T63" s="7">
        <v>2.65</v>
      </c>
      <c r="U63" s="7">
        <v>2.8875</v>
      </c>
      <c r="V63" s="7">
        <v>2.97403</v>
      </c>
    </row>
    <row r="64" spans="1:22" ht="18" customHeight="1">
      <c r="A64" s="3" t="s">
        <v>230</v>
      </c>
      <c r="B64" s="4">
        <v>0.00135073</v>
      </c>
      <c r="C64" s="4">
        <v>0.3990180101630918</v>
      </c>
      <c r="D64" s="4">
        <v>-0.3036793559034042</v>
      </c>
      <c r="E64" s="4">
        <v>-0.06024565872723442</v>
      </c>
      <c r="F64" s="4">
        <v>-0.03072166341753868</v>
      </c>
      <c r="G64" s="4">
        <v>0.04448096614489372</v>
      </c>
      <c r="H64" s="15"/>
      <c r="I64" s="6">
        <v>359.0299987792969</v>
      </c>
      <c r="J64" s="7">
        <v>29.47701</v>
      </c>
      <c r="K64" s="7">
        <v>20.538546</v>
      </c>
      <c r="L64" s="4">
        <v>0.01394238135783898</v>
      </c>
      <c r="M64" s="4">
        <v>0.043</v>
      </c>
      <c r="N64" s="4">
        <v>0.060100004</v>
      </c>
      <c r="O64" s="3" t="s">
        <v>230</v>
      </c>
      <c r="P64" s="5">
        <v>250</v>
      </c>
      <c r="Q64" s="5">
        <v>337.4</v>
      </c>
      <c r="R64" s="5">
        <v>348</v>
      </c>
      <c r="S64" s="5">
        <v>375</v>
      </c>
      <c r="T64" s="7">
        <v>11.8</v>
      </c>
      <c r="U64" s="7">
        <v>16.49033</v>
      </c>
      <c r="V64" s="7">
        <v>17.48079</v>
      </c>
    </row>
    <row r="65" spans="1:22" ht="18" customHeight="1">
      <c r="A65" s="3" t="s">
        <v>231</v>
      </c>
      <c r="B65" s="4">
        <v>0.00120115</v>
      </c>
      <c r="C65" s="4">
        <v>0.1164405571331022</v>
      </c>
      <c r="D65" s="4">
        <v>-0.5660349892677492</v>
      </c>
      <c r="E65" s="4">
        <v>0.06321427629401466</v>
      </c>
      <c r="F65" s="4">
        <v>-0.01634597567356477</v>
      </c>
      <c r="G65" s="4">
        <v>0.6779980414980367</v>
      </c>
      <c r="H65" s="15"/>
      <c r="I65" s="6">
        <v>34.56499862670898</v>
      </c>
      <c r="J65" s="7">
        <v>18.192104</v>
      </c>
      <c r="K65" s="7">
        <v>10.703094</v>
      </c>
      <c r="L65" s="4">
        <v>-0.02595669880533324</v>
      </c>
      <c r="M65" s="4">
        <v>0.2548</v>
      </c>
      <c r="N65" s="4">
        <v>0.24270001</v>
      </c>
      <c r="O65" s="3" t="s">
        <v>231</v>
      </c>
      <c r="P65" s="5">
        <v>15</v>
      </c>
      <c r="Q65" s="5">
        <v>36.75</v>
      </c>
      <c r="R65" s="5">
        <v>34</v>
      </c>
      <c r="S65" s="5">
        <v>58</v>
      </c>
      <c r="T65" s="7">
        <v>1.68</v>
      </c>
      <c r="U65" s="7">
        <v>2.58482</v>
      </c>
      <c r="V65" s="7">
        <v>3.21225</v>
      </c>
    </row>
    <row r="66" spans="1:22" ht="18" customHeight="1">
      <c r="A66" s="3" t="s">
        <v>232</v>
      </c>
      <c r="B66" s="4">
        <v>0.00117782</v>
      </c>
      <c r="C66" s="4">
        <v>-0.1483245742564772</v>
      </c>
      <c r="D66" s="4">
        <v>0.06992479619135894</v>
      </c>
      <c r="E66" s="4">
        <v>0.2693776917107287</v>
      </c>
      <c r="F66" s="4">
        <v>0.2770070148090413</v>
      </c>
      <c r="G66" s="4">
        <v>0.5876303427355649</v>
      </c>
      <c r="H66" s="15"/>
      <c r="I66" s="6">
        <v>144.8699951171875</v>
      </c>
      <c r="J66" s="7">
        <v>13.916427</v>
      </c>
      <c r="K66" s="7">
        <v>16.824278</v>
      </c>
      <c r="L66" s="4">
        <v>-0.0480847388509158</v>
      </c>
      <c r="M66" s="4">
        <v>-0.0001</v>
      </c>
      <c r="N66" s="4">
        <v>0.0764</v>
      </c>
      <c r="O66" s="3" t="s">
        <v>232</v>
      </c>
      <c r="P66" s="5">
        <v>155</v>
      </c>
      <c r="Q66" s="5">
        <v>183.89474</v>
      </c>
      <c r="R66" s="5">
        <v>185</v>
      </c>
      <c r="S66" s="5">
        <v>230</v>
      </c>
      <c r="T66" s="7">
        <v>6.14</v>
      </c>
      <c r="U66" s="7">
        <v>7.99926</v>
      </c>
      <c r="V66" s="7">
        <v>8.61077</v>
      </c>
    </row>
    <row r="67" spans="1:22" ht="18" customHeight="1">
      <c r="A67" s="3" t="s">
        <v>233</v>
      </c>
      <c r="B67" s="4">
        <v>0.00097634</v>
      </c>
      <c r="C67" s="4">
        <v>-0.2597344662979078</v>
      </c>
      <c r="D67" s="4">
        <v>0.2072087481793266</v>
      </c>
      <c r="E67" s="4">
        <v>0.5061365711947434</v>
      </c>
      <c r="F67" s="4">
        <v>0.5090109352241583</v>
      </c>
      <c r="G67" s="4">
        <v>0.7763214437495807</v>
      </c>
      <c r="H67" s="15"/>
      <c r="I67" s="6">
        <v>57.98500061035156</v>
      </c>
      <c r="J67" s="7">
        <v>30.358639</v>
      </c>
      <c r="K67" s="7">
        <v>14.265575</v>
      </c>
      <c r="L67" s="4">
        <v>0.1239420384897543</v>
      </c>
      <c r="M67" s="4">
        <v>0.1424</v>
      </c>
      <c r="N67" s="4">
        <v>0.1368</v>
      </c>
      <c r="O67" s="3" t="s">
        <v>233</v>
      </c>
      <c r="P67" s="5">
        <v>70</v>
      </c>
      <c r="Q67" s="5">
        <v>87.33333</v>
      </c>
      <c r="R67" s="5">
        <v>87.5</v>
      </c>
      <c r="S67" s="5">
        <v>103</v>
      </c>
      <c r="T67" s="7">
        <v>1.76</v>
      </c>
      <c r="U67" s="7">
        <v>3.57566</v>
      </c>
      <c r="V67" s="7">
        <v>4.06468</v>
      </c>
    </row>
    <row r="68" spans="1:22" ht="18" customHeight="1">
      <c r="A68" s="3" t="s">
        <v>234</v>
      </c>
      <c r="B68" s="4">
        <v>0.00094285</v>
      </c>
      <c r="C68" s="4">
        <v>-0.2836197351259274</v>
      </c>
      <c r="D68" s="4">
        <v>0.07296136919554397</v>
      </c>
      <c r="E68" s="4">
        <v>0.425734572607781</v>
      </c>
      <c r="F68" s="4">
        <v>0.409262693868774</v>
      </c>
      <c r="G68" s="4">
        <v>1.081865343215235</v>
      </c>
      <c r="H68" s="15"/>
      <c r="I68" s="6">
        <v>312.2200012207031</v>
      </c>
      <c r="J68" s="7">
        <v>43.12431</v>
      </c>
      <c r="K68" s="7">
        <v>21.742764</v>
      </c>
      <c r="L68" s="4">
        <v>-0.2100683423411004</v>
      </c>
      <c r="M68" s="4">
        <v>0.1189</v>
      </c>
      <c r="N68" s="4">
        <v>0.1347</v>
      </c>
      <c r="O68" s="3" t="s">
        <v>234</v>
      </c>
      <c r="P68" s="5">
        <v>335</v>
      </c>
      <c r="Q68" s="5">
        <v>445.14285</v>
      </c>
      <c r="R68" s="5">
        <v>440</v>
      </c>
      <c r="S68" s="5">
        <v>650</v>
      </c>
      <c r="T68" s="7">
        <v>7.2</v>
      </c>
      <c r="U68" s="7">
        <v>12.65486</v>
      </c>
      <c r="V68" s="7">
        <v>14.35972</v>
      </c>
    </row>
    <row r="69" spans="1:22" ht="18" customHeight="1">
      <c r="A69" s="3" t="s">
        <v>235</v>
      </c>
      <c r="B69" s="4">
        <v>0.0009208199999999999</v>
      </c>
      <c r="C69" s="4">
        <v>-0.2194229006940822</v>
      </c>
      <c r="D69" s="4">
        <v>0.1893251032461738</v>
      </c>
      <c r="E69" s="4">
        <v>0.4242893309606621</v>
      </c>
      <c r="F69" s="4">
        <v>0.3972152635696922</v>
      </c>
      <c r="G69" s="4">
        <v>0.8855154075853977</v>
      </c>
      <c r="H69" s="15"/>
      <c r="I69" s="6">
        <v>103.4199981689453</v>
      </c>
      <c r="J69" s="7">
        <v>12.596833</v>
      </c>
      <c r="K69" s="7">
        <v>9.03912</v>
      </c>
      <c r="L69" s="4">
        <v>-0.1868864424126894</v>
      </c>
      <c r="M69" s="4">
        <v>0.059699997</v>
      </c>
      <c r="N69" s="4">
        <v>0.0775</v>
      </c>
      <c r="O69" s="3" t="s">
        <v>235</v>
      </c>
      <c r="P69" s="5">
        <v>123</v>
      </c>
      <c r="Q69" s="5">
        <v>147.3</v>
      </c>
      <c r="R69" s="5">
        <v>144.5</v>
      </c>
      <c r="S69" s="5">
        <v>195</v>
      </c>
      <c r="T69" s="7">
        <v>8.08</v>
      </c>
      <c r="U69" s="7">
        <v>10.61829</v>
      </c>
      <c r="V69" s="7">
        <v>11.44138</v>
      </c>
    </row>
    <row r="70" spans="1:22" ht="18" customHeight="1">
      <c r="A70" s="3" t="s">
        <v>236</v>
      </c>
      <c r="B70" s="4">
        <v>0.00084368</v>
      </c>
      <c r="C70" s="4">
        <v>-0.1462162241877708</v>
      </c>
      <c r="D70" s="4">
        <v>-0.006323369173799276</v>
      </c>
      <c r="E70" s="4">
        <v>0.3553649876806295</v>
      </c>
      <c r="F70" s="4">
        <v>0.2195122287412463</v>
      </c>
      <c r="G70" s="4">
        <v>1.07768750081842</v>
      </c>
      <c r="H70" s="15"/>
      <c r="I70" s="6">
        <v>22.13999938964844</v>
      </c>
      <c r="J70" s="7">
        <v>14.10191</v>
      </c>
      <c r="K70" s="7">
        <v>6.7307925</v>
      </c>
      <c r="L70" s="4">
        <v>0.00690646133329631</v>
      </c>
      <c r="M70" s="4">
        <v>0.1258</v>
      </c>
      <c r="N70" s="4">
        <v>0.14130001</v>
      </c>
      <c r="O70" s="3" t="s">
        <v>236</v>
      </c>
      <c r="P70" s="5">
        <v>22</v>
      </c>
      <c r="Q70" s="5">
        <v>30.00778</v>
      </c>
      <c r="R70" s="5">
        <v>27</v>
      </c>
      <c r="S70" s="5">
        <v>46</v>
      </c>
      <c r="T70" s="7">
        <v>1.03</v>
      </c>
      <c r="U70" s="7">
        <v>2.88217</v>
      </c>
      <c r="V70" s="7">
        <v>3.28936</v>
      </c>
    </row>
    <row r="71" spans="1:22" ht="18" customHeight="1">
      <c r="A71" s="3" t="s">
        <v>237</v>
      </c>
      <c r="B71" s="4">
        <v>0.0008302299999999999</v>
      </c>
      <c r="C71" s="4">
        <v>-0.2613060620021573</v>
      </c>
      <c r="D71" s="4">
        <v>-0.0519703357299478</v>
      </c>
      <c r="E71" s="4">
        <v>0.308204751658206</v>
      </c>
      <c r="F71" s="4">
        <v>0.1422044147831953</v>
      </c>
      <c r="G71" s="4">
        <v>1.170188388088071</v>
      </c>
      <c r="H71" s="15"/>
      <c r="I71" s="6">
        <v>87.55000305175781</v>
      </c>
      <c r="J71" s="7">
        <v>13.874803</v>
      </c>
      <c r="K71" s="7">
        <v>8.12655</v>
      </c>
      <c r="L71" s="4">
        <v>-0.3762002938684232</v>
      </c>
      <c r="M71" s="4">
        <v>0.1703</v>
      </c>
      <c r="N71" s="4">
        <v>0.14770001</v>
      </c>
      <c r="O71" s="3" t="s">
        <v>237</v>
      </c>
      <c r="P71" s="5">
        <v>83</v>
      </c>
      <c r="Q71" s="5">
        <v>114.53333</v>
      </c>
      <c r="R71" s="5">
        <v>100</v>
      </c>
      <c r="S71" s="5">
        <v>190</v>
      </c>
      <c r="T71" s="7">
        <v>6.22</v>
      </c>
      <c r="U71" s="7">
        <v>7.11744</v>
      </c>
      <c r="V71" s="7">
        <v>8.98147</v>
      </c>
    </row>
    <row r="72" spans="1:22" ht="18" customHeight="1">
      <c r="A72" s="3" t="s">
        <v>238</v>
      </c>
      <c r="B72" s="4">
        <v>0.00075435</v>
      </c>
      <c r="C72" s="4">
        <v>-0.3556511981010941</v>
      </c>
      <c r="D72" s="4">
        <v>-0.08334967644632552</v>
      </c>
      <c r="E72" s="4">
        <v>0.09343288595331178</v>
      </c>
      <c r="F72" s="4">
        <v>0.09343288595331178</v>
      </c>
      <c r="G72" s="4">
        <v>0.329142969152828</v>
      </c>
      <c r="H72" s="15"/>
      <c r="I72" s="6">
        <v>152.7299957275391</v>
      </c>
      <c r="J72" s="7">
        <v>15.091897</v>
      </c>
      <c r="K72" s="7">
        <v>9.958491</v>
      </c>
      <c r="L72" s="4">
        <v>-0.4780053690227568</v>
      </c>
      <c r="M72" s="4">
        <v>0.0397</v>
      </c>
      <c r="N72" s="4">
        <v>0.1201</v>
      </c>
      <c r="O72" s="3" t="s">
        <v>238</v>
      </c>
      <c r="P72" s="5">
        <v>140</v>
      </c>
      <c r="Q72" s="5">
        <v>167</v>
      </c>
      <c r="R72" s="5">
        <v>167</v>
      </c>
      <c r="S72" s="5">
        <v>203</v>
      </c>
      <c r="T72" s="7">
        <v>9.65</v>
      </c>
      <c r="U72" s="7">
        <v>13.69235</v>
      </c>
      <c r="V72" s="7">
        <v>15.33666</v>
      </c>
    </row>
    <row r="73" spans="1:22" ht="18" customHeight="1">
      <c r="A73" s="3" t="s">
        <v>239</v>
      </c>
      <c r="B73" s="4">
        <v>0.0007503999999999999</v>
      </c>
      <c r="C73" s="4">
        <v>-0.1103906698559154</v>
      </c>
      <c r="D73" s="4">
        <v>0.1589478958185779</v>
      </c>
      <c r="E73" s="4">
        <v>0.4727409611068394</v>
      </c>
      <c r="F73" s="4">
        <v>0.4939562719536355</v>
      </c>
      <c r="G73" s="4">
        <v>0.8108560872165278</v>
      </c>
      <c r="H73" s="15"/>
      <c r="I73" s="6">
        <v>220.8899993896484</v>
      </c>
      <c r="J73" s="7">
        <v>27.003666</v>
      </c>
      <c r="K73" s="7">
        <v>11.016275</v>
      </c>
      <c r="L73" s="4">
        <v>-0.3672607850085343</v>
      </c>
      <c r="M73" s="4">
        <v>0.134</v>
      </c>
      <c r="N73" s="4">
        <v>0.1163</v>
      </c>
      <c r="O73" s="3" t="s">
        <v>239</v>
      </c>
      <c r="P73" s="5">
        <v>256</v>
      </c>
      <c r="Q73" s="5">
        <v>325.31375</v>
      </c>
      <c r="R73" s="5">
        <v>330</v>
      </c>
      <c r="S73" s="5">
        <v>400</v>
      </c>
      <c r="T73" s="7">
        <v>8.18</v>
      </c>
      <c r="U73" s="7">
        <v>17.96205</v>
      </c>
      <c r="V73" s="7">
        <v>20.05124</v>
      </c>
    </row>
    <row r="74" spans="1:22" ht="18" customHeight="1">
      <c r="A74" s="3" t="s">
        <v>196</v>
      </c>
      <c r="B74" s="4">
        <v>0.0006778000000000001</v>
      </c>
      <c r="C74" s="4">
        <v>0.08100665357117509</v>
      </c>
      <c r="D74" s="4">
        <v>-0.2004651945340308</v>
      </c>
      <c r="E74" s="4">
        <v>0.07803298463484976</v>
      </c>
      <c r="F74" s="4">
        <v>0.04666374533726891</v>
      </c>
      <c r="G74" s="4">
        <v>0.5409216250798681</v>
      </c>
      <c r="H74" s="15"/>
      <c r="I74" s="6">
        <v>68.79000091552734</v>
      </c>
      <c r="J74" s="7">
        <v>28.662498</v>
      </c>
      <c r="K74" s="7">
        <v>13.367691</v>
      </c>
      <c r="L74" s="4">
        <v>-0.2529396653723179</v>
      </c>
      <c r="M74" s="4">
        <v>-0.155</v>
      </c>
      <c r="N74" s="4">
        <v>0.027</v>
      </c>
      <c r="O74" s="3" t="s">
        <v>196</v>
      </c>
      <c r="P74" s="5">
        <v>55</v>
      </c>
      <c r="Q74" s="5">
        <v>74.15788999999999</v>
      </c>
      <c r="R74" s="5">
        <v>72</v>
      </c>
      <c r="S74" s="5">
        <v>106</v>
      </c>
      <c r="T74" s="7">
        <v>3.08</v>
      </c>
      <c r="U74" s="7">
        <v>5.01067</v>
      </c>
      <c r="V74" s="7">
        <v>5.14599</v>
      </c>
    </row>
    <row r="75" spans="1:22" ht="18" customHeight="1">
      <c r="A75" s="3" t="s">
        <v>240</v>
      </c>
      <c r="B75" s="4">
        <v>0.00037001</v>
      </c>
      <c r="C75" s="4">
        <v>-0.5166616973731455</v>
      </c>
      <c r="D75" s="4">
        <v>0.135308088481134</v>
      </c>
      <c r="E75" s="4">
        <v>0.5262911645327093</v>
      </c>
      <c r="F75" s="4">
        <v>0.4655795324029184</v>
      </c>
      <c r="G75" s="4">
        <v>1.425430916300604</v>
      </c>
      <c r="H75" s="15"/>
      <c r="I75" s="6">
        <v>96.88999938964844</v>
      </c>
      <c r="J75" s="7">
        <v>13.920977</v>
      </c>
      <c r="K75" s="7">
        <v>6.868465</v>
      </c>
      <c r="L75" s="4">
        <v>-0.1059521661340918</v>
      </c>
      <c r="M75" s="4">
        <v>0.1356</v>
      </c>
      <c r="N75" s="4">
        <v>0.08019999999999999</v>
      </c>
      <c r="O75" s="3" t="s">
        <v>240</v>
      </c>
      <c r="P75" s="5">
        <v>110</v>
      </c>
      <c r="Q75" s="5">
        <v>147.88235</v>
      </c>
      <c r="R75" s="5">
        <v>142</v>
      </c>
      <c r="S75" s="5">
        <v>235</v>
      </c>
      <c r="T75" s="7">
        <v>6.72</v>
      </c>
      <c r="U75" s="7">
        <v>13.05906</v>
      </c>
      <c r="V75" s="7">
        <v>14.1065</v>
      </c>
    </row>
    <row r="76" spans="1:22" ht="18" customHeight="1">
      <c r="A76" s="3" t="s">
        <v>241</v>
      </c>
      <c r="B76" s="4">
        <v>0.00019127</v>
      </c>
      <c r="C76" s="9" t="s">
        <v>79</v>
      </c>
      <c r="D76" s="9" t="s">
        <v>79</v>
      </c>
      <c r="E76" s="9" t="s">
        <v>79</v>
      </c>
      <c r="F76" s="9" t="s">
        <v>79</v>
      </c>
      <c r="G76" s="9" t="s">
        <v>79</v>
      </c>
      <c r="H76" s="15"/>
      <c r="I76" s="9" t="s">
        <v>79</v>
      </c>
      <c r="J76" s="9" t="s">
        <v>79</v>
      </c>
      <c r="K76" s="9" t="s">
        <v>79</v>
      </c>
      <c r="L76" s="9" t="s">
        <v>79</v>
      </c>
      <c r="M76" s="9" t="s">
        <v>79</v>
      </c>
      <c r="N76" s="9" t="s">
        <v>79</v>
      </c>
      <c r="O76" s="3" t="s">
        <v>241</v>
      </c>
      <c r="P76" s="9" t="s">
        <v>79</v>
      </c>
      <c r="Q76" s="9" t="s">
        <v>79</v>
      </c>
      <c r="R76" s="9" t="s">
        <v>79</v>
      </c>
      <c r="S76" s="9" t="s">
        <v>79</v>
      </c>
      <c r="T76" s="9" t="s">
        <v>79</v>
      </c>
      <c r="U76" s="9" t="s">
        <v>79</v>
      </c>
      <c r="V76" s="9" t="s">
        <v>79</v>
      </c>
    </row>
    <row r="79" spans="1:22" ht="18" customHeight="1">
      <c r="A79" s="16" t="s">
        <v>171</v>
      </c>
      <c r="B79" s="17">
        <f>SUM(B3:B76)</f>
        <v>0</v>
      </c>
      <c r="C79" s="17">
        <f>SUMPRODUCT(B3:B76,C3:C76)</f>
        <v>0</v>
      </c>
      <c r="D79" s="17">
        <f>SUMPRODUCT(B3:B76,D3:D76)</f>
        <v>0</v>
      </c>
      <c r="E79" s="17">
        <f>SUMPRODUCT(B3:B76,E3:E76)</f>
        <v>0</v>
      </c>
      <c r="F79" s="17">
        <f>SUMPRODUCT(B3:B76,F3:F76)</f>
        <v>0</v>
      </c>
      <c r="G79" s="17">
        <f>SUMPRODUCT(B3:B76,G3:G76)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76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76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0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20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0.08644815</v>
      </c>
      <c r="C3" s="4">
        <v>0.1699600284555249</v>
      </c>
      <c r="D3" s="4">
        <v>-0.3662864332773664</v>
      </c>
      <c r="E3" s="4">
        <v>0.2183842215776215</v>
      </c>
      <c r="F3" s="4">
        <v>0.1995292512964135</v>
      </c>
      <c r="G3" s="4">
        <v>0.7200796811042909</v>
      </c>
      <c r="H3" s="15"/>
      <c r="I3" s="6">
        <v>220.9199981689453</v>
      </c>
      <c r="J3" s="7">
        <v>44.991856</v>
      </c>
      <c r="K3" s="7">
        <v>19.573948</v>
      </c>
      <c r="L3" s="4">
        <v>0.3487891106312935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71</v>
      </c>
      <c r="B4" s="4">
        <v>0.07426881</v>
      </c>
      <c r="C4" s="4">
        <v>0.2476134909096512</v>
      </c>
      <c r="D4" s="4">
        <v>-0.149340130707623</v>
      </c>
      <c r="E4" s="4">
        <v>0.08906229899794038</v>
      </c>
      <c r="F4" s="4">
        <v>0.09444002093148862</v>
      </c>
      <c r="G4" s="4">
        <v>0.3107828157667827</v>
      </c>
      <c r="H4" s="15"/>
      <c r="I4" s="6">
        <v>392.8949890136719</v>
      </c>
      <c r="J4" s="7">
        <v>29.969107</v>
      </c>
      <c r="K4" s="7">
        <v>27.162539</v>
      </c>
      <c r="L4" s="4">
        <v>0.6587966970922741</v>
      </c>
      <c r="M4" s="4">
        <v>0.3164</v>
      </c>
      <c r="N4" s="4">
        <v>0.0165</v>
      </c>
      <c r="O4" s="3" t="s">
        <v>71</v>
      </c>
      <c r="P4" s="5">
        <v>334.22</v>
      </c>
      <c r="Q4" s="5">
        <v>427.88712</v>
      </c>
      <c r="R4" s="5">
        <v>430</v>
      </c>
      <c r="S4" s="5">
        <v>515</v>
      </c>
      <c r="T4" s="7">
        <v>10.81</v>
      </c>
      <c r="U4" s="7">
        <v>14.22259</v>
      </c>
      <c r="V4" s="7">
        <v>14.42841</v>
      </c>
    </row>
    <row r="5" spans="1:22" ht="18" customHeight="1">
      <c r="A5" s="3" t="s">
        <v>173</v>
      </c>
      <c r="B5" s="4">
        <v>0.0711883</v>
      </c>
      <c r="C5" s="4">
        <v>0.08015809914931604</v>
      </c>
      <c r="D5" s="4">
        <v>-0.2648567110656432</v>
      </c>
      <c r="E5" s="4">
        <v>0.04383829897940461</v>
      </c>
      <c r="F5" s="4">
        <v>0.05997404451000277</v>
      </c>
      <c r="G5" s="4">
        <v>0.3677084445290357</v>
      </c>
      <c r="H5" s="15"/>
      <c r="I5" s="6">
        <v>292.4599914550781</v>
      </c>
      <c r="J5" s="7">
        <v>35.363964</v>
      </c>
      <c r="K5" s="7">
        <v>30.592915</v>
      </c>
      <c r="L5" s="4">
        <v>0.11990778985701</v>
      </c>
      <c r="M5" s="4">
        <v>0.1693</v>
      </c>
      <c r="N5" s="4">
        <v>0.0959</v>
      </c>
      <c r="O5" s="3" t="s">
        <v>173</v>
      </c>
      <c r="P5" s="5">
        <v>215</v>
      </c>
      <c r="Q5" s="5">
        <v>305.28094</v>
      </c>
      <c r="R5" s="5">
        <v>310</v>
      </c>
      <c r="S5" s="5">
        <v>400</v>
      </c>
      <c r="T5" s="7">
        <v>7.46</v>
      </c>
      <c r="U5" s="7">
        <v>8.72795</v>
      </c>
      <c r="V5" s="7">
        <v>9.606960000000001</v>
      </c>
    </row>
    <row r="6" spans="1:22" ht="18" customHeight="1">
      <c r="A6" s="3" t="s">
        <v>175</v>
      </c>
      <c r="B6" s="4">
        <v>0.05095821</v>
      </c>
      <c r="C6" s="4">
        <v>-0.1278398722753132</v>
      </c>
      <c r="D6" s="4">
        <v>-0.02813544620744668</v>
      </c>
      <c r="E6" s="4">
        <v>0.3643911713899661</v>
      </c>
      <c r="F6" s="4">
        <v>0.3666845287707781</v>
      </c>
      <c r="G6" s="4">
        <v>1.113805404498803</v>
      </c>
      <c r="H6" s="15"/>
      <c r="I6" s="6">
        <v>411.5799865722656</v>
      </c>
      <c r="J6" s="7">
        <v>24.540257</v>
      </c>
      <c r="K6" s="7">
        <v>21.263233</v>
      </c>
      <c r="L6" s="4">
        <v>0.163905497584615</v>
      </c>
      <c r="M6" s="4">
        <v>0.2354</v>
      </c>
      <c r="N6" s="4">
        <v>0.1486</v>
      </c>
      <c r="O6" s="3" t="s">
        <v>175</v>
      </c>
      <c r="P6" s="5">
        <v>400</v>
      </c>
      <c r="Q6" s="5">
        <v>561.5561</v>
      </c>
      <c r="R6" s="5">
        <v>562.5</v>
      </c>
      <c r="S6" s="5">
        <v>870</v>
      </c>
      <c r="T6" s="7">
        <v>13.64</v>
      </c>
      <c r="U6" s="7">
        <v>16.85079</v>
      </c>
      <c r="V6" s="7">
        <v>19.35454</v>
      </c>
    </row>
    <row r="7" spans="1:22" ht="18" customHeight="1">
      <c r="A7" s="3" t="s">
        <v>172</v>
      </c>
      <c r="B7" s="4">
        <v>0.04839041</v>
      </c>
      <c r="C7" s="4">
        <v>0.1941280407095061</v>
      </c>
      <c r="D7" s="4">
        <v>-0.2346655855889603</v>
      </c>
      <c r="E7" s="4">
        <v>0.1518891137423202</v>
      </c>
      <c r="F7" s="4">
        <v>0.1720338616826065</v>
      </c>
      <c r="G7" s="4">
        <v>0.3679890499134524</v>
      </c>
      <c r="H7" s="15"/>
      <c r="I7" s="6">
        <v>270.4700012207031</v>
      </c>
      <c r="J7" s="7">
        <v>32.314217</v>
      </c>
      <c r="K7" s="7">
        <v>27.401215</v>
      </c>
      <c r="L7" s="4">
        <v>0.04813371194604787</v>
      </c>
      <c r="M7" s="4">
        <v>0.2032</v>
      </c>
      <c r="N7" s="4">
        <v>0.1442</v>
      </c>
      <c r="O7" s="3" t="s">
        <v>172</v>
      </c>
      <c r="P7" s="5">
        <v>207</v>
      </c>
      <c r="Q7" s="5">
        <v>311.55145</v>
      </c>
      <c r="R7" s="5">
        <v>317</v>
      </c>
      <c r="S7" s="5">
        <v>370</v>
      </c>
      <c r="T7" s="7">
        <v>7.17</v>
      </c>
      <c r="U7" s="7">
        <v>8.60388</v>
      </c>
      <c r="V7" s="7">
        <v>9.86961</v>
      </c>
    </row>
    <row r="8" spans="1:22" ht="18" customHeight="1">
      <c r="A8" s="3" t="s">
        <v>73</v>
      </c>
      <c r="B8" s="4">
        <v>0.03836045</v>
      </c>
      <c r="C8" s="4">
        <v>1.552384138248048</v>
      </c>
      <c r="D8" s="4">
        <v>-0.6905813658751023</v>
      </c>
      <c r="E8" s="4">
        <v>-0.2868400026758129</v>
      </c>
      <c r="F8" s="4">
        <v>-0.3165451856678967</v>
      </c>
      <c r="G8" s="4">
        <v>0.2426451169674606</v>
      </c>
      <c r="H8" s="15"/>
      <c r="I8" s="6">
        <v>804.7349853515625</v>
      </c>
      <c r="J8" s="7">
        <v>37.941303</v>
      </c>
      <c r="K8" s="7">
        <v>7.9064493</v>
      </c>
      <c r="L8" s="4">
        <v>2.27888901203893</v>
      </c>
      <c r="M8" s="4">
        <v>0.060095</v>
      </c>
      <c r="N8" s="4">
        <v>0.7516</v>
      </c>
      <c r="O8" s="3" t="s">
        <v>73</v>
      </c>
      <c r="P8" s="5">
        <v>249</v>
      </c>
      <c r="Q8" s="5">
        <v>573.9048</v>
      </c>
      <c r="R8" s="5">
        <v>550</v>
      </c>
      <c r="S8" s="5">
        <v>1000</v>
      </c>
      <c r="T8" s="7">
        <v>7.59</v>
      </c>
      <c r="U8" s="7">
        <v>58.10855</v>
      </c>
      <c r="V8" s="7">
        <v>101.7821</v>
      </c>
    </row>
    <row r="9" spans="1:22" ht="18" customHeight="1">
      <c r="A9" s="3" t="s">
        <v>174</v>
      </c>
      <c r="B9" s="4">
        <v>0.03534284</v>
      </c>
      <c r="C9" s="4">
        <v>0.01545412582574124</v>
      </c>
      <c r="D9" s="4">
        <v>-0.7234960862049555</v>
      </c>
      <c r="E9" s="4">
        <v>-0.07325406124933675</v>
      </c>
      <c r="F9" s="4">
        <v>0.01159968461601624</v>
      </c>
      <c r="G9" s="4">
        <v>0.3487995794880216</v>
      </c>
      <c r="H9" s="15"/>
      <c r="I9" s="6">
        <v>444.8399963378906</v>
      </c>
      <c r="J9" s="7">
        <v>415.73828</v>
      </c>
      <c r="K9" s="7">
        <v>176.9437</v>
      </c>
      <c r="L9" s="4">
        <v>0.185720319205114</v>
      </c>
      <c r="M9" s="4">
        <v>0.2343</v>
      </c>
      <c r="N9" s="4">
        <v>0.22700001</v>
      </c>
      <c r="O9" s="3" t="s">
        <v>174</v>
      </c>
      <c r="P9" s="5">
        <v>123</v>
      </c>
      <c r="Q9" s="5">
        <v>412.25366</v>
      </c>
      <c r="R9" s="5">
        <v>450</v>
      </c>
      <c r="S9" s="5">
        <v>600</v>
      </c>
      <c r="T9" s="7">
        <v>1.08</v>
      </c>
      <c r="U9" s="7">
        <v>2.04894</v>
      </c>
      <c r="V9" s="7">
        <v>2.51402</v>
      </c>
    </row>
    <row r="10" spans="1:22" ht="18" customHeight="1">
      <c r="A10" s="3" t="s">
        <v>76</v>
      </c>
      <c r="B10" s="4">
        <v>0.03386997</v>
      </c>
      <c r="C10" s="4">
        <v>1.096925777705248</v>
      </c>
      <c r="D10" s="4">
        <v>-0.5196002924308116</v>
      </c>
      <c r="E10" s="4">
        <v>-0.04983163823024617</v>
      </c>
      <c r="F10" s="4">
        <v>-0.02852503580453003</v>
      </c>
      <c r="G10" s="4">
        <v>0.3344436321366344</v>
      </c>
      <c r="H10" s="15"/>
      <c r="I10" s="6">
        <v>468.3599853515625</v>
      </c>
      <c r="J10" s="7">
        <v>156.15111</v>
      </c>
      <c r="K10" s="7">
        <v>36.307373</v>
      </c>
      <c r="L10" s="4">
        <v>0.7753461704239681</v>
      </c>
      <c r="M10" s="4">
        <v>0.7586000000000001</v>
      </c>
      <c r="N10" s="4">
        <v>0.7594</v>
      </c>
      <c r="O10" s="3" t="s">
        <v>76</v>
      </c>
      <c r="P10" s="5">
        <v>225</v>
      </c>
      <c r="Q10" s="5">
        <v>445.02084</v>
      </c>
      <c r="R10" s="5">
        <v>455</v>
      </c>
      <c r="S10" s="5">
        <v>625</v>
      </c>
      <c r="T10" s="7">
        <v>2.65</v>
      </c>
      <c r="U10" s="7">
        <v>7.3335</v>
      </c>
      <c r="V10" s="7">
        <v>12.90243</v>
      </c>
    </row>
    <row r="11" spans="1:22" ht="18" customHeight="1">
      <c r="A11" s="3" t="s">
        <v>74</v>
      </c>
      <c r="B11" s="4">
        <v>0.03370316</v>
      </c>
      <c r="C11" s="4">
        <v>0.2391309836652116</v>
      </c>
      <c r="D11" s="4">
        <v>-0.1624888064822262</v>
      </c>
      <c r="E11" s="4">
        <v>0.1061963001771864</v>
      </c>
      <c r="F11" s="4">
        <v>0.1108655414020472</v>
      </c>
      <c r="G11" s="4">
        <v>0.465644588656104</v>
      </c>
      <c r="H11" s="15"/>
      <c r="I11" s="6">
        <v>429.8450012207031</v>
      </c>
      <c r="J11" s="7">
        <v>83.9541</v>
      </c>
      <c r="K11" s="7">
        <v>23.724813</v>
      </c>
      <c r="L11" s="4">
        <v>0.5054207913071003</v>
      </c>
      <c r="M11" s="4">
        <v>0.6753</v>
      </c>
      <c r="N11" s="4">
        <v>0.5857</v>
      </c>
      <c r="O11" s="3" t="s">
        <v>74</v>
      </c>
      <c r="P11" s="5">
        <v>360</v>
      </c>
      <c r="Q11" s="5">
        <v>475.49295</v>
      </c>
      <c r="R11" s="5">
        <v>477.5</v>
      </c>
      <c r="S11" s="5">
        <v>630</v>
      </c>
      <c r="T11" s="7">
        <v>4.77</v>
      </c>
      <c r="U11" s="7">
        <v>11.42564</v>
      </c>
      <c r="V11" s="7">
        <v>18.11795</v>
      </c>
    </row>
    <row r="12" spans="1:22" ht="18" customHeight="1">
      <c r="A12" s="3" t="s">
        <v>176</v>
      </c>
      <c r="B12" s="4">
        <v>0.02972363</v>
      </c>
      <c r="C12" s="4">
        <v>-0.07336820259146037</v>
      </c>
      <c r="D12" s="4">
        <v>0.01963716933905069</v>
      </c>
      <c r="E12" s="4">
        <v>0.3728418761295698</v>
      </c>
      <c r="F12" s="4">
        <v>0.3700336558708741</v>
      </c>
      <c r="G12" s="4">
        <v>0.6855565584350756</v>
      </c>
      <c r="H12" s="15"/>
      <c r="I12" s="6">
        <v>602.1749877929688</v>
      </c>
      <c r="J12" s="7">
        <v>21.905237</v>
      </c>
      <c r="K12" s="7">
        <v>16.641123</v>
      </c>
      <c r="L12" s="4">
        <v>0.1050189324505177</v>
      </c>
      <c r="M12" s="4">
        <v>0.0789</v>
      </c>
      <c r="N12" s="4">
        <v>0.1302</v>
      </c>
      <c r="O12" s="3" t="s">
        <v>176</v>
      </c>
      <c r="P12" s="5">
        <v>614</v>
      </c>
      <c r="Q12" s="5">
        <v>826.69104</v>
      </c>
      <c r="R12" s="5">
        <v>825</v>
      </c>
      <c r="S12" s="5">
        <v>1015</v>
      </c>
      <c r="T12" s="7">
        <v>23.49</v>
      </c>
      <c r="U12" s="7">
        <v>32.81202</v>
      </c>
      <c r="V12" s="7">
        <v>34.73745</v>
      </c>
    </row>
    <row r="13" spans="1:22" ht="18" customHeight="1">
      <c r="A13" s="3" t="s">
        <v>242</v>
      </c>
      <c r="B13" s="4">
        <v>0.02914666</v>
      </c>
      <c r="C13" s="4">
        <v>0.1304395021776248</v>
      </c>
      <c r="D13" s="4">
        <v>-0.5116764321797793</v>
      </c>
      <c r="E13" s="4">
        <v>0.07980596191365752</v>
      </c>
      <c r="F13" s="4">
        <v>0.09478993430662364</v>
      </c>
      <c r="G13" s="4">
        <v>0.1814279866618242</v>
      </c>
      <c r="H13" s="15"/>
      <c r="I13" s="6">
        <v>126.9649963378906</v>
      </c>
      <c r="J13" s="7">
        <v>46.507324</v>
      </c>
      <c r="K13" s="7">
        <v>38.629696</v>
      </c>
      <c r="L13" s="4">
        <v>0.2497380030215253</v>
      </c>
      <c r="M13" s="4">
        <v>0.1046</v>
      </c>
      <c r="N13" s="4">
        <v>0.1271</v>
      </c>
      <c r="O13" s="3" t="s">
        <v>242</v>
      </c>
      <c r="P13" s="5">
        <v>62</v>
      </c>
      <c r="Q13" s="5">
        <v>137.09756</v>
      </c>
      <c r="R13" s="5">
        <v>139</v>
      </c>
      <c r="S13" s="5">
        <v>150</v>
      </c>
      <c r="T13" s="7">
        <v>2.73</v>
      </c>
      <c r="U13" s="7">
        <v>2.91608</v>
      </c>
      <c r="V13" s="7">
        <v>3.28672</v>
      </c>
    </row>
    <row r="14" spans="1:22" ht="18" customHeight="1">
      <c r="A14" s="3" t="s">
        <v>78</v>
      </c>
      <c r="B14" s="4">
        <v>0.02847686</v>
      </c>
      <c r="C14" s="4">
        <v>2.241495613146698</v>
      </c>
      <c r="D14" s="4">
        <v>-0.8402193106529232</v>
      </c>
      <c r="E14" s="4">
        <v>-0.3530448558789929</v>
      </c>
      <c r="F14" s="4">
        <v>-0.3616604812849628</v>
      </c>
      <c r="G14" s="4">
        <v>-0.07577836554141837</v>
      </c>
      <c r="H14" s="15"/>
      <c r="I14" s="6">
        <v>127.6750030517578</v>
      </c>
      <c r="J14" s="9" t="s">
        <v>79</v>
      </c>
      <c r="K14" s="7">
        <v>83.40628</v>
      </c>
      <c r="L14" s="4">
        <v>0.8249259534597484</v>
      </c>
      <c r="M14" s="4">
        <v>0.015855</v>
      </c>
      <c r="N14" s="4">
        <v>0.4129</v>
      </c>
      <c r="O14" s="3" t="s">
        <v>78</v>
      </c>
      <c r="P14" s="5">
        <v>20.4</v>
      </c>
      <c r="Q14" s="5">
        <v>82.59999999999999</v>
      </c>
      <c r="R14" s="5">
        <v>81.5</v>
      </c>
      <c r="S14" s="5">
        <v>118</v>
      </c>
      <c r="T14" s="7">
        <v>-0.06</v>
      </c>
      <c r="U14" s="7">
        <v>1.08591</v>
      </c>
      <c r="V14" s="7">
        <v>1.53433</v>
      </c>
    </row>
    <row r="15" spans="1:22" ht="18" customHeight="1">
      <c r="A15" s="3" t="s">
        <v>243</v>
      </c>
      <c r="B15" s="4">
        <v>0.02046537</v>
      </c>
      <c r="C15" s="4">
        <v>0.1655704520595926</v>
      </c>
      <c r="D15" s="4">
        <v>-0.3455365545083132</v>
      </c>
      <c r="E15" s="4">
        <v>0.07958155410609513</v>
      </c>
      <c r="F15" s="4">
        <v>0.1075535231397775</v>
      </c>
      <c r="G15" s="4">
        <v>0.3240298935716432</v>
      </c>
      <c r="H15" s="15"/>
      <c r="I15" s="6">
        <v>993.1799926757812</v>
      </c>
      <c r="J15" s="7">
        <v>51.540215</v>
      </c>
      <c r="K15" s="7">
        <v>44.16371</v>
      </c>
      <c r="L15" s="4">
        <v>-0.04722977752470703</v>
      </c>
      <c r="M15" s="4">
        <v>0.1282</v>
      </c>
      <c r="N15" s="4">
        <v>0.0946</v>
      </c>
      <c r="O15" s="3" t="s">
        <v>243</v>
      </c>
      <c r="P15" s="5">
        <v>650</v>
      </c>
      <c r="Q15" s="5">
        <v>1072.2188</v>
      </c>
      <c r="R15" s="5">
        <v>1100</v>
      </c>
      <c r="S15" s="5">
        <v>1315</v>
      </c>
      <c r="T15" s="7">
        <v>18.21</v>
      </c>
      <c r="U15" s="7">
        <v>20.51843</v>
      </c>
      <c r="V15" s="7">
        <v>22.56884</v>
      </c>
    </row>
    <row r="16" spans="1:22" ht="18" customHeight="1">
      <c r="A16" s="3" t="s">
        <v>85</v>
      </c>
      <c r="B16" s="4">
        <v>0.01740814</v>
      </c>
      <c r="C16" s="4">
        <v>0.300604963179663</v>
      </c>
      <c r="D16" s="4">
        <v>-0.2375336590372202</v>
      </c>
      <c r="E16" s="4">
        <v>-0.0896705947778843</v>
      </c>
      <c r="F16" s="4">
        <v>-0.0850403908446643</v>
      </c>
      <c r="G16" s="4">
        <v>0.1182839667454103</v>
      </c>
      <c r="H16" s="15"/>
      <c r="I16" s="6">
        <v>98.36499786376953</v>
      </c>
      <c r="J16" s="7">
        <v>35.383095</v>
      </c>
      <c r="K16" s="7">
        <v>21.802782</v>
      </c>
      <c r="L16" s="4">
        <v>0.3369957025476586</v>
      </c>
      <c r="M16" s="4">
        <v>0.091800004</v>
      </c>
      <c r="N16" s="4">
        <v>0.08459999999999999</v>
      </c>
      <c r="O16" s="3" t="s">
        <v>85</v>
      </c>
      <c r="P16" s="5">
        <v>75</v>
      </c>
      <c r="Q16" s="5">
        <v>89.54455</v>
      </c>
      <c r="R16" s="5">
        <v>90</v>
      </c>
      <c r="S16" s="5">
        <v>110</v>
      </c>
      <c r="T16" s="7">
        <v>2.61</v>
      </c>
      <c r="U16" s="7">
        <v>4.15994</v>
      </c>
      <c r="V16" s="7">
        <v>4.51172</v>
      </c>
    </row>
    <row r="17" spans="1:22" ht="18" customHeight="1">
      <c r="A17" s="3" t="s">
        <v>177</v>
      </c>
      <c r="B17" s="4">
        <v>0.01685847</v>
      </c>
      <c r="C17" s="4">
        <v>-0.06291898679558794</v>
      </c>
      <c r="D17" s="4">
        <v>-0.06174865920760952</v>
      </c>
      <c r="E17" s="4">
        <v>0.3435172793059036</v>
      </c>
      <c r="F17" s="4">
        <v>0.3487363023890613</v>
      </c>
      <c r="G17" s="4">
        <v>0.7756406624495991</v>
      </c>
      <c r="H17" s="15"/>
      <c r="I17" s="6">
        <v>85.26499938964844</v>
      </c>
      <c r="J17" s="7">
        <v>27.504839</v>
      </c>
      <c r="K17" s="7">
        <v>22.197086</v>
      </c>
      <c r="L17" s="4">
        <v>0.05736814830690729</v>
      </c>
      <c r="M17" s="4">
        <v>0.42209998</v>
      </c>
      <c r="N17" s="4">
        <v>0.06760000400000001</v>
      </c>
      <c r="O17" s="3" t="s">
        <v>177</v>
      </c>
      <c r="P17" s="5">
        <v>80</v>
      </c>
      <c r="Q17" s="5">
        <v>114.555</v>
      </c>
      <c r="R17" s="5">
        <v>115</v>
      </c>
      <c r="S17" s="5">
        <v>151.4</v>
      </c>
      <c r="T17" s="7">
        <v>2.53</v>
      </c>
      <c r="U17" s="7">
        <v>3.59407</v>
      </c>
      <c r="V17" s="7">
        <v>3.82945</v>
      </c>
    </row>
    <row r="18" spans="1:22" ht="18" customHeight="1">
      <c r="A18" s="3" t="s">
        <v>77</v>
      </c>
      <c r="B18" s="4">
        <v>0.01675825</v>
      </c>
      <c r="C18" s="4">
        <v>0.6044272299705975</v>
      </c>
      <c r="D18" s="4">
        <v>-0.258160231281588</v>
      </c>
      <c r="E18" s="4">
        <v>0.04690029861042944</v>
      </c>
      <c r="F18" s="4">
        <v>0.06217966884681703</v>
      </c>
      <c r="G18" s="4">
        <v>0.2982195952572209</v>
      </c>
      <c r="H18" s="15"/>
      <c r="I18" s="6">
        <v>296.5599975585938</v>
      </c>
      <c r="J18" s="7">
        <v>56.06049</v>
      </c>
      <c r="K18" s="7">
        <v>37.47785</v>
      </c>
      <c r="L18" s="4">
        <v>1.384700031317069</v>
      </c>
      <c r="M18" s="4">
        <v>0.37080002</v>
      </c>
      <c r="N18" s="4">
        <v>0.3944</v>
      </c>
      <c r="O18" s="3" t="s">
        <v>77</v>
      </c>
      <c r="P18" s="5">
        <v>220</v>
      </c>
      <c r="Q18" s="5">
        <v>310.46875</v>
      </c>
      <c r="R18" s="5">
        <v>315</v>
      </c>
      <c r="S18" s="5">
        <v>385</v>
      </c>
      <c r="T18" s="7">
        <v>4.15</v>
      </c>
      <c r="U18" s="7">
        <v>5.675</v>
      </c>
      <c r="V18" s="7">
        <v>7.91294</v>
      </c>
    </row>
    <row r="19" spans="1:22" ht="18" customHeight="1">
      <c r="A19" s="3" t="s">
        <v>83</v>
      </c>
      <c r="B19" s="4">
        <v>0.01577105</v>
      </c>
      <c r="C19" s="4">
        <v>0.6609746983814047</v>
      </c>
      <c r="D19" s="4">
        <v>-0.3722395337391898</v>
      </c>
      <c r="E19" s="4">
        <v>-0.01490403963296261</v>
      </c>
      <c r="F19" s="4">
        <v>-0.002309258978355211</v>
      </c>
      <c r="G19" s="4">
        <v>0.2331009158694486</v>
      </c>
      <c r="H19" s="15"/>
      <c r="I19" s="6">
        <v>446.0299987792969</v>
      </c>
      <c r="J19" s="7">
        <v>45.746666</v>
      </c>
      <c r="K19" s="7">
        <v>30.986721</v>
      </c>
      <c r="L19" s="4">
        <v>0.5839540115112469</v>
      </c>
      <c r="M19" s="4">
        <v>0.17959999</v>
      </c>
      <c r="N19" s="4">
        <v>0.2953</v>
      </c>
      <c r="O19" s="3" t="s">
        <v>83</v>
      </c>
      <c r="P19" s="5">
        <v>280</v>
      </c>
      <c r="Q19" s="5">
        <v>439.38235</v>
      </c>
      <c r="R19" s="5">
        <v>445</v>
      </c>
      <c r="S19" s="5">
        <v>550</v>
      </c>
      <c r="T19" s="7">
        <v>8.66</v>
      </c>
      <c r="U19" s="7">
        <v>11.11229</v>
      </c>
      <c r="V19" s="7">
        <v>14.39423</v>
      </c>
    </row>
    <row r="20" spans="1:22" ht="18" customHeight="1">
      <c r="A20" s="3" t="s">
        <v>93</v>
      </c>
      <c r="B20" s="4">
        <v>0.01441079</v>
      </c>
      <c r="C20" s="4">
        <v>-0.1936137250198234</v>
      </c>
      <c r="D20" s="4">
        <v>-0.4828605224263954</v>
      </c>
      <c r="E20" s="4">
        <v>0.3409180642846379</v>
      </c>
      <c r="F20" s="4">
        <v>0.4036642962712123</v>
      </c>
      <c r="G20" s="4">
        <v>0.8838652397324165</v>
      </c>
      <c r="H20" s="15"/>
      <c r="I20" s="6">
        <v>135.3600006103516</v>
      </c>
      <c r="J20" s="7">
        <v>150.40001</v>
      </c>
      <c r="K20" s="7">
        <v>65.74704</v>
      </c>
      <c r="L20" s="4">
        <v>1.364011094939334</v>
      </c>
      <c r="M20" s="4">
        <v>0.9482</v>
      </c>
      <c r="N20" s="4">
        <v>0.409</v>
      </c>
      <c r="O20" s="3" t="s">
        <v>93</v>
      </c>
      <c r="P20" s="5">
        <v>70</v>
      </c>
      <c r="Q20" s="5">
        <v>181.50667</v>
      </c>
      <c r="R20" s="5">
        <v>190</v>
      </c>
      <c r="S20" s="5">
        <v>255</v>
      </c>
      <c r="T20" s="7">
        <v>0.63</v>
      </c>
      <c r="U20" s="7">
        <v>1.46118</v>
      </c>
      <c r="V20" s="7">
        <v>2.0588</v>
      </c>
    </row>
    <row r="21" spans="1:22" ht="18" customHeight="1">
      <c r="A21" s="3" t="s">
        <v>183</v>
      </c>
      <c r="B21" s="4">
        <v>0.01197978</v>
      </c>
      <c r="C21" s="4">
        <v>0.6835237480666427</v>
      </c>
      <c r="D21" s="4">
        <v>-0.3229977966644295</v>
      </c>
      <c r="E21" s="4">
        <v>-0.05537036315833677</v>
      </c>
      <c r="F21" s="4">
        <v>-0.05558192634687908</v>
      </c>
      <c r="G21" s="4">
        <v>0.1509037456704698</v>
      </c>
      <c r="H21" s="15"/>
      <c r="I21" s="6">
        <v>295.4200134277344</v>
      </c>
      <c r="J21" s="7">
        <v>50.585617</v>
      </c>
      <c r="K21" s="7">
        <v>32.111744</v>
      </c>
      <c r="L21" s="4">
        <v>-0.04186835892513663</v>
      </c>
      <c r="M21" s="4">
        <v>0.39040002</v>
      </c>
      <c r="N21" s="4">
        <v>0.18370001</v>
      </c>
      <c r="O21" s="3" t="s">
        <v>183</v>
      </c>
      <c r="P21" s="5">
        <v>200</v>
      </c>
      <c r="Q21" s="5">
        <v>279.0625</v>
      </c>
      <c r="R21" s="5">
        <v>279</v>
      </c>
      <c r="S21" s="5">
        <v>340</v>
      </c>
      <c r="T21" s="7">
        <v>5.45</v>
      </c>
      <c r="U21" s="7">
        <v>7.67388</v>
      </c>
      <c r="V21" s="7">
        <v>8.86983</v>
      </c>
    </row>
    <row r="22" spans="1:22" ht="18" customHeight="1">
      <c r="A22" s="3" t="s">
        <v>90</v>
      </c>
      <c r="B22" s="4">
        <v>0.01118153</v>
      </c>
      <c r="C22" s="4">
        <v>0.4581840121554719</v>
      </c>
      <c r="D22" s="4">
        <v>-0.2456896551724138</v>
      </c>
      <c r="E22" s="4">
        <v>-0.01096163793103455</v>
      </c>
      <c r="F22" s="4">
        <v>0.01023706896551735</v>
      </c>
      <c r="G22" s="4">
        <v>0.1314655172413792</v>
      </c>
      <c r="H22" s="15"/>
      <c r="I22" s="6">
        <v>1856</v>
      </c>
      <c r="J22" s="7">
        <v>52.533257</v>
      </c>
      <c r="K22" s="7">
        <v>37.33913</v>
      </c>
      <c r="L22" s="4">
        <v>0.9249564605495981</v>
      </c>
      <c r="M22" s="4">
        <v>0.11399999</v>
      </c>
      <c r="N22" s="4">
        <v>0.34080002</v>
      </c>
      <c r="O22" s="3" t="s">
        <v>90</v>
      </c>
      <c r="P22" s="5">
        <v>1400</v>
      </c>
      <c r="Q22" s="5">
        <v>1835.6552</v>
      </c>
      <c r="R22" s="5">
        <v>1875</v>
      </c>
      <c r="S22" s="5">
        <v>2100</v>
      </c>
      <c r="T22" s="7">
        <v>20.28</v>
      </c>
      <c r="U22" s="7">
        <v>37.0733</v>
      </c>
      <c r="V22" s="7">
        <v>49.70657</v>
      </c>
    </row>
    <row r="23" spans="1:22" ht="18" customHeight="1">
      <c r="A23" s="3" t="s">
        <v>180</v>
      </c>
      <c r="B23" s="4">
        <v>0.0106687</v>
      </c>
      <c r="C23" s="4">
        <v>0.372381059252336</v>
      </c>
      <c r="D23" s="4">
        <v>-0.5760556302782808</v>
      </c>
      <c r="E23" s="4">
        <v>-0.2587811328609155</v>
      </c>
      <c r="F23" s="4">
        <v>-0.3216890084452493</v>
      </c>
      <c r="G23" s="4">
        <v>0.2718331091651578</v>
      </c>
      <c r="H23" s="15"/>
      <c r="I23" s="6">
        <v>235.8800048828125</v>
      </c>
      <c r="J23" s="7">
        <v>25.390743</v>
      </c>
      <c r="K23" s="7">
        <v>22.178658</v>
      </c>
      <c r="L23" s="4">
        <v>0.1382383312733473</v>
      </c>
      <c r="M23" s="4">
        <v>-0.1062</v>
      </c>
      <c r="N23" s="4">
        <v>-0.0109</v>
      </c>
      <c r="O23" s="3" t="s">
        <v>180</v>
      </c>
      <c r="P23" s="5">
        <v>100</v>
      </c>
      <c r="Q23" s="5">
        <v>174.83871</v>
      </c>
      <c r="R23" s="5">
        <v>160</v>
      </c>
      <c r="S23" s="5">
        <v>300</v>
      </c>
      <c r="T23" s="7">
        <v>5.01</v>
      </c>
      <c r="U23" s="7">
        <v>10.75261</v>
      </c>
      <c r="V23" s="7">
        <v>10.63545</v>
      </c>
    </row>
    <row r="24" spans="1:22" ht="18" customHeight="1">
      <c r="A24" s="3" t="s">
        <v>82</v>
      </c>
      <c r="B24" s="4">
        <v>0.01052413</v>
      </c>
      <c r="C24" s="4">
        <v>4.656863727765986</v>
      </c>
      <c r="D24" s="4">
        <v>-0.3577372279712964</v>
      </c>
      <c r="E24" s="4">
        <v>-0.1014452232019936</v>
      </c>
      <c r="F24" s="4">
        <v>-0.1329452577612501</v>
      </c>
      <c r="G24" s="4">
        <v>0.2845255440574073</v>
      </c>
      <c r="H24" s="15"/>
      <c r="I24" s="6">
        <v>1556.9951171875</v>
      </c>
      <c r="J24" s="7">
        <v>53.285255</v>
      </c>
      <c r="K24" s="7">
        <v>9.198995</v>
      </c>
      <c r="L24" s="4">
        <v>5.59388902452257</v>
      </c>
      <c r="M24" s="4">
        <v>0.205815</v>
      </c>
      <c r="N24" s="4">
        <v>0.01623</v>
      </c>
      <c r="O24" s="3" t="s">
        <v>82</v>
      </c>
      <c r="P24" s="5">
        <v>1000</v>
      </c>
      <c r="Q24" s="5">
        <v>1399.0454</v>
      </c>
      <c r="R24" s="5">
        <v>1350</v>
      </c>
      <c r="S24" s="5">
        <v>2000</v>
      </c>
      <c r="T24" s="7">
        <v>-11.32</v>
      </c>
      <c r="U24" s="7">
        <v>64.52876000000001</v>
      </c>
      <c r="V24" s="7">
        <v>169.2571</v>
      </c>
    </row>
    <row r="25" spans="1:22" ht="18" customHeight="1">
      <c r="A25" s="3" t="s">
        <v>244</v>
      </c>
      <c r="B25" s="4">
        <v>0.0104295</v>
      </c>
      <c r="C25" s="4">
        <v>0.1810178589930473</v>
      </c>
      <c r="D25" s="4">
        <v>-0.2080619238152333</v>
      </c>
      <c r="E25" s="4">
        <v>0.07032252453946453</v>
      </c>
      <c r="F25" s="4">
        <v>0.08891485475405436</v>
      </c>
      <c r="G25" s="4">
        <v>0.1879071142771502</v>
      </c>
      <c r="H25" s="15"/>
      <c r="I25" s="6">
        <v>505.0899963378906</v>
      </c>
      <c r="J25" s="7">
        <v>33.471836</v>
      </c>
      <c r="K25" s="7">
        <v>25.62608</v>
      </c>
      <c r="L25" s="4">
        <v>0.04336703710166834</v>
      </c>
      <c r="M25" s="4">
        <v>0.09050000499999999</v>
      </c>
      <c r="N25" s="4">
        <v>0.09810001</v>
      </c>
      <c r="O25" s="3" t="s">
        <v>244</v>
      </c>
      <c r="P25" s="5">
        <v>400</v>
      </c>
      <c r="Q25" s="5">
        <v>540.6092</v>
      </c>
      <c r="R25" s="5">
        <v>550</v>
      </c>
      <c r="S25" s="5">
        <v>600</v>
      </c>
      <c r="T25" s="7">
        <v>14.61</v>
      </c>
      <c r="U25" s="7">
        <v>17.95</v>
      </c>
      <c r="V25" s="7">
        <v>19.71</v>
      </c>
    </row>
    <row r="26" spans="1:22" ht="18" customHeight="1">
      <c r="A26" s="3" t="s">
        <v>245</v>
      </c>
      <c r="B26" s="4">
        <v>0.009736989999999999</v>
      </c>
      <c r="C26" s="4">
        <v>-0.03712997473166801</v>
      </c>
      <c r="D26" s="4">
        <v>0.1084967320261438</v>
      </c>
      <c r="E26" s="4">
        <v>0.3732268758169934</v>
      </c>
      <c r="F26" s="4">
        <v>0.3647058823529412</v>
      </c>
      <c r="G26" s="4">
        <v>0.6209150326797386</v>
      </c>
      <c r="H26" s="15"/>
      <c r="I26" s="6">
        <v>191.25</v>
      </c>
      <c r="J26" s="7">
        <v>20.324123</v>
      </c>
      <c r="K26" s="7">
        <v>13.710228</v>
      </c>
      <c r="L26" s="4">
        <v>-0.06068520827174206</v>
      </c>
      <c r="M26" s="4">
        <v>0.0548</v>
      </c>
      <c r="N26" s="4">
        <v>0.241</v>
      </c>
      <c r="O26" s="3" t="s">
        <v>245</v>
      </c>
      <c r="P26" s="5">
        <v>212</v>
      </c>
      <c r="Q26" s="5">
        <v>262.62964</v>
      </c>
      <c r="R26" s="5">
        <v>261</v>
      </c>
      <c r="S26" s="5">
        <v>310</v>
      </c>
      <c r="T26" s="7">
        <v>9.720000000000001</v>
      </c>
      <c r="U26" s="7">
        <v>10.50429</v>
      </c>
      <c r="V26" s="7">
        <v>13.5431</v>
      </c>
    </row>
    <row r="27" spans="1:22" ht="18" customHeight="1">
      <c r="A27" s="3" t="s">
        <v>246</v>
      </c>
      <c r="B27" s="4">
        <v>0.009643779999999999</v>
      </c>
      <c r="C27" s="4">
        <v>0.06369732101435632</v>
      </c>
      <c r="D27" s="4">
        <v>-0.1197065509406975</v>
      </c>
      <c r="E27" s="4">
        <v>0.1476842514335071</v>
      </c>
      <c r="F27" s="4">
        <v>0.1537179294489344</v>
      </c>
      <c r="G27" s="4">
        <v>0.3004335042921513</v>
      </c>
      <c r="H27" s="15"/>
      <c r="I27" s="6">
        <v>149.9499969482422</v>
      </c>
      <c r="J27" s="7">
        <v>23.540031</v>
      </c>
      <c r="K27" s="7">
        <v>16.386133</v>
      </c>
      <c r="L27" s="4">
        <v>-0.006356058661668773</v>
      </c>
      <c r="M27" s="4">
        <v>0.06370000000000001</v>
      </c>
      <c r="N27" s="4">
        <v>0.056900002</v>
      </c>
      <c r="O27" s="3" t="s">
        <v>246</v>
      </c>
      <c r="P27" s="5">
        <v>132</v>
      </c>
      <c r="Q27" s="5">
        <v>172.09525</v>
      </c>
      <c r="R27" s="5">
        <v>173</v>
      </c>
      <c r="S27" s="5">
        <v>195</v>
      </c>
      <c r="T27" s="7">
        <v>6</v>
      </c>
      <c r="U27" s="7">
        <v>8.65856</v>
      </c>
      <c r="V27" s="7">
        <v>9.15103</v>
      </c>
    </row>
    <row r="28" spans="1:22" ht="18" customHeight="1">
      <c r="A28" s="3" t="s">
        <v>100</v>
      </c>
      <c r="B28" s="4">
        <v>0.00928032</v>
      </c>
      <c r="C28" s="4">
        <v>0.5336978190575306</v>
      </c>
      <c r="D28" s="4">
        <v>-0.2951419529284769</v>
      </c>
      <c r="E28" s="4">
        <v>-0.05767145391118145</v>
      </c>
      <c r="F28" s="4">
        <v>-0.04426027515725683</v>
      </c>
      <c r="G28" s="4">
        <v>0.1349409232507577</v>
      </c>
      <c r="H28" s="15"/>
      <c r="I28" s="6">
        <v>418.5239868164062</v>
      </c>
      <c r="J28" s="7">
        <v>76.65275</v>
      </c>
      <c r="K28" s="7">
        <v>31.826073</v>
      </c>
      <c r="L28" s="4">
        <v>0.3043409700860968</v>
      </c>
      <c r="M28" s="4">
        <v>0.4721</v>
      </c>
      <c r="N28" s="4">
        <v>0.1467</v>
      </c>
      <c r="O28" s="3" t="s">
        <v>100</v>
      </c>
      <c r="P28" s="5">
        <v>295</v>
      </c>
      <c r="Q28" s="5">
        <v>394.3871</v>
      </c>
      <c r="R28" s="5">
        <v>400</v>
      </c>
      <c r="S28" s="5">
        <v>475</v>
      </c>
      <c r="T28" s="7">
        <v>4.56</v>
      </c>
      <c r="U28" s="7">
        <v>11.46783</v>
      </c>
      <c r="V28" s="7">
        <v>13.15035</v>
      </c>
    </row>
    <row r="29" spans="1:22" ht="18" customHeight="1">
      <c r="A29" s="3" t="s">
        <v>247</v>
      </c>
      <c r="B29" s="4">
        <v>0.00816044</v>
      </c>
      <c r="C29" s="4">
        <v>0.01063239315460152</v>
      </c>
      <c r="D29" s="4">
        <v>-0.3918107337572976</v>
      </c>
      <c r="E29" s="4">
        <v>0.07365682521973516</v>
      </c>
      <c r="F29" s="4">
        <v>0.07193358175276288</v>
      </c>
      <c r="G29" s="4">
        <v>0.3136888150842372</v>
      </c>
      <c r="H29" s="15"/>
      <c r="I29" s="6">
        <v>328.8450012207031</v>
      </c>
      <c r="J29" s="7">
        <v>22.90007</v>
      </c>
      <c r="K29" s="7">
        <v>14.001442</v>
      </c>
      <c r="L29" s="4">
        <v>0.3034712464125131</v>
      </c>
      <c r="M29" s="4">
        <v>0.026700001</v>
      </c>
      <c r="N29" s="4">
        <v>0.047399998</v>
      </c>
      <c r="O29" s="3" t="s">
        <v>247</v>
      </c>
      <c r="P29" s="5">
        <v>200</v>
      </c>
      <c r="Q29" s="5">
        <v>353.06668</v>
      </c>
      <c r="R29" s="5">
        <v>352.5</v>
      </c>
      <c r="S29" s="5">
        <v>432</v>
      </c>
      <c r="T29" s="7">
        <v>14.23</v>
      </c>
      <c r="U29" s="7">
        <v>22.42294</v>
      </c>
      <c r="V29" s="7">
        <v>23.48651</v>
      </c>
    </row>
    <row r="30" spans="1:22" ht="18" customHeight="1">
      <c r="A30" s="3" t="s">
        <v>84</v>
      </c>
      <c r="B30" s="4">
        <v>0.00778913</v>
      </c>
      <c r="C30" s="4">
        <v>1.920192470441341</v>
      </c>
      <c r="D30" s="4">
        <v>-0.3498049585265174</v>
      </c>
      <c r="E30" s="4">
        <v>-0.05160463468434562</v>
      </c>
      <c r="F30" s="4">
        <v>-0.0801827945393484</v>
      </c>
      <c r="G30" s="4">
        <v>0.1930184247219864</v>
      </c>
      <c r="H30" s="15"/>
      <c r="I30" s="6">
        <v>838.2100219726562</v>
      </c>
      <c r="J30" s="7">
        <v>79.30086</v>
      </c>
      <c r="K30" s="7">
        <v>31.903795</v>
      </c>
      <c r="L30" s="4">
        <v>2.249612117867108</v>
      </c>
      <c r="M30" s="4">
        <v>0.8376</v>
      </c>
      <c r="N30" s="4">
        <v>0.7651</v>
      </c>
      <c r="O30" s="3" t="s">
        <v>84</v>
      </c>
      <c r="P30" s="5">
        <v>545</v>
      </c>
      <c r="Q30" s="5">
        <v>794.9545000000001</v>
      </c>
      <c r="R30" s="5">
        <v>771</v>
      </c>
      <c r="S30" s="5">
        <v>1000</v>
      </c>
      <c r="T30" s="7">
        <v>1.58</v>
      </c>
      <c r="U30" s="7">
        <v>14.88438</v>
      </c>
      <c r="V30" s="7">
        <v>26.27305</v>
      </c>
    </row>
    <row r="31" spans="1:22" ht="18" customHeight="1">
      <c r="A31" s="3" t="s">
        <v>202</v>
      </c>
      <c r="B31" s="4">
        <v>0.00774153</v>
      </c>
      <c r="C31" s="4">
        <v>0.1923956665276076</v>
      </c>
      <c r="D31" s="4">
        <v>-0.4669908481512238</v>
      </c>
      <c r="E31" s="4">
        <v>-0.02954556171005729</v>
      </c>
      <c r="F31" s="4">
        <v>-0.01814103606804385</v>
      </c>
      <c r="G31" s="4">
        <v>0.2390125021046112</v>
      </c>
      <c r="H31" s="15"/>
      <c r="I31" s="6">
        <v>213.8800048828125</v>
      </c>
      <c r="J31" s="7">
        <v>118.16575</v>
      </c>
      <c r="K31" s="7">
        <v>53.8727</v>
      </c>
      <c r="L31" s="4">
        <v>0.01914347322075849</v>
      </c>
      <c r="M31" s="4">
        <v>0.105100006</v>
      </c>
      <c r="N31" s="4">
        <v>0.0756</v>
      </c>
      <c r="O31" s="3" t="s">
        <v>202</v>
      </c>
      <c r="P31" s="5">
        <v>114</v>
      </c>
      <c r="Q31" s="5">
        <v>207.5608</v>
      </c>
      <c r="R31" s="5">
        <v>210</v>
      </c>
      <c r="S31" s="5">
        <v>265</v>
      </c>
      <c r="T31" s="7">
        <v>1.6</v>
      </c>
      <c r="U31" s="7">
        <v>3.69117</v>
      </c>
      <c r="V31" s="7">
        <v>2.29782</v>
      </c>
    </row>
    <row r="32" spans="1:22" ht="18" customHeight="1">
      <c r="A32" s="3" t="s">
        <v>101</v>
      </c>
      <c r="B32" s="4">
        <v>0.00744059</v>
      </c>
      <c r="C32" s="4">
        <v>0.1058335343531955</v>
      </c>
      <c r="D32" s="4">
        <v>-0.08757763911362315</v>
      </c>
      <c r="E32" s="4">
        <v>0.1813947503423272</v>
      </c>
      <c r="F32" s="4">
        <v>0.2003589255923237</v>
      </c>
      <c r="G32" s="4">
        <v>0.3461969258979332</v>
      </c>
      <c r="H32" s="15"/>
      <c r="I32" s="6">
        <v>133.7100067138672</v>
      </c>
      <c r="J32" s="7">
        <v>18.191837</v>
      </c>
      <c r="K32" s="7">
        <v>13.825701</v>
      </c>
      <c r="L32" s="4">
        <v>0.3732191293870541</v>
      </c>
      <c r="M32" s="4">
        <v>-1.1011</v>
      </c>
      <c r="N32" s="4">
        <v>0.127563</v>
      </c>
      <c r="O32" s="3" t="s">
        <v>101</v>
      </c>
      <c r="P32" s="5">
        <v>122</v>
      </c>
      <c r="Q32" s="5">
        <v>157.9643</v>
      </c>
      <c r="R32" s="5">
        <v>160.5</v>
      </c>
      <c r="S32" s="5">
        <v>180</v>
      </c>
      <c r="T32" s="7">
        <v>6.78</v>
      </c>
      <c r="U32" s="7">
        <v>-0.82383</v>
      </c>
      <c r="V32" s="7">
        <v>9.68516</v>
      </c>
    </row>
    <row r="33" spans="1:22" ht="18" customHeight="1">
      <c r="A33" s="3" t="s">
        <v>86</v>
      </c>
      <c r="B33" s="4">
        <v>0.00742703</v>
      </c>
      <c r="C33" s="4">
        <v>1.7801111683872</v>
      </c>
      <c r="D33" s="4">
        <v>-0.3097857930487796</v>
      </c>
      <c r="E33" s="4">
        <v>-0.04964823807934005</v>
      </c>
      <c r="F33" s="4">
        <v>-0.0413691570121939</v>
      </c>
      <c r="G33" s="4">
        <v>0.2653927127439042</v>
      </c>
      <c r="H33" s="15"/>
      <c r="I33" s="6">
        <v>521.5772094726562</v>
      </c>
      <c r="J33" s="7">
        <v>31.232166</v>
      </c>
      <c r="K33" s="7">
        <v>29.944965</v>
      </c>
      <c r="L33" s="4">
        <v>2.697874632899181</v>
      </c>
      <c r="M33" s="4">
        <v>1.0124</v>
      </c>
      <c r="N33" s="4">
        <v>0.7556</v>
      </c>
      <c r="O33" s="3" t="s">
        <v>86</v>
      </c>
      <c r="P33" s="5">
        <v>360</v>
      </c>
      <c r="Q33" s="5">
        <v>495.68182</v>
      </c>
      <c r="R33" s="5">
        <v>500</v>
      </c>
      <c r="S33" s="5">
        <v>660</v>
      </c>
      <c r="T33" s="7">
        <v>5.12</v>
      </c>
      <c r="U33" s="7">
        <v>9.92107</v>
      </c>
      <c r="V33" s="7">
        <v>17.41786</v>
      </c>
    </row>
    <row r="34" spans="1:22" ht="18" customHeight="1">
      <c r="A34" s="3" t="s">
        <v>248</v>
      </c>
      <c r="B34" s="4">
        <v>0.007294310000000001</v>
      </c>
      <c r="C34" s="4">
        <v>-0.2535322911372059</v>
      </c>
      <c r="D34" s="4">
        <v>-0.09892709774567798</v>
      </c>
      <c r="E34" s="4">
        <v>0.3754695254541027</v>
      </c>
      <c r="F34" s="4">
        <v>0.3825986330886422</v>
      </c>
      <c r="G34" s="4">
        <v>0.7878430600284165</v>
      </c>
      <c r="H34" s="15"/>
      <c r="I34" s="6">
        <v>419.4999084472656</v>
      </c>
      <c r="J34" s="7">
        <v>50.910183</v>
      </c>
      <c r="K34" s="7">
        <v>35.583286</v>
      </c>
      <c r="L34" s="4">
        <v>0.0807777296875225</v>
      </c>
      <c r="M34" s="4">
        <v>0.1658</v>
      </c>
      <c r="N34" s="4">
        <v>0.13239999</v>
      </c>
      <c r="O34" s="3" t="s">
        <v>248</v>
      </c>
      <c r="P34" s="5">
        <v>378</v>
      </c>
      <c r="Q34" s="5">
        <v>577.00934</v>
      </c>
      <c r="R34" s="5">
        <v>580</v>
      </c>
      <c r="S34" s="5">
        <v>750</v>
      </c>
      <c r="T34" s="7">
        <v>7.87</v>
      </c>
      <c r="U34" s="7">
        <v>10.41054</v>
      </c>
      <c r="V34" s="7">
        <v>11.78924</v>
      </c>
    </row>
    <row r="35" spans="1:22" ht="18" customHeight="1">
      <c r="A35" s="3" t="s">
        <v>182</v>
      </c>
      <c r="B35" s="4">
        <v>0.006764210000000001</v>
      </c>
      <c r="C35" s="4">
        <v>0.9131161510561565</v>
      </c>
      <c r="D35" s="4">
        <v>-0.5023564670539499</v>
      </c>
      <c r="E35" s="4">
        <v>-0.2372370505158357</v>
      </c>
      <c r="F35" s="4">
        <v>-0.2601795297643104</v>
      </c>
      <c r="G35" s="4">
        <v>0.1416528108762327</v>
      </c>
      <c r="H35" s="15"/>
      <c r="I35" s="6">
        <v>170.8049926757812</v>
      </c>
      <c r="J35" s="7">
        <v>55.818626</v>
      </c>
      <c r="K35" s="7">
        <v>31.427267</v>
      </c>
      <c r="L35" s="4">
        <v>-0.249332238329024</v>
      </c>
      <c r="M35" s="4">
        <v>0.34919998</v>
      </c>
      <c r="N35" s="4">
        <v>0.4184</v>
      </c>
      <c r="O35" s="3" t="s">
        <v>182</v>
      </c>
      <c r="P35" s="5">
        <v>85</v>
      </c>
      <c r="Q35" s="5">
        <v>130.28372</v>
      </c>
      <c r="R35" s="5">
        <v>126.36503</v>
      </c>
      <c r="S35" s="5">
        <v>195</v>
      </c>
      <c r="T35" s="7">
        <v>3.07</v>
      </c>
      <c r="U35" s="7">
        <v>3.8317</v>
      </c>
      <c r="V35" s="7">
        <v>5.43493</v>
      </c>
    </row>
    <row r="36" spans="1:22" ht="18" customHeight="1">
      <c r="A36" s="3" t="s">
        <v>205</v>
      </c>
      <c r="B36" s="4">
        <v>0.00656628</v>
      </c>
      <c r="C36" s="4">
        <v>-0.2471581270720113</v>
      </c>
      <c r="D36" s="4">
        <v>-0.2695981725269074</v>
      </c>
      <c r="E36" s="4">
        <v>0.3863056760808665</v>
      </c>
      <c r="F36" s="4">
        <v>0.4232094432380114</v>
      </c>
      <c r="G36" s="4">
        <v>0.8474869753731165</v>
      </c>
      <c r="H36" s="15"/>
      <c r="I36" s="6">
        <v>465.4971923828125</v>
      </c>
      <c r="J36" s="7">
        <v>40.54854</v>
      </c>
      <c r="K36" s="7">
        <v>21.248196</v>
      </c>
      <c r="L36" s="4">
        <v>0.971502164347936</v>
      </c>
      <c r="M36" s="4">
        <v>0.65279996</v>
      </c>
      <c r="N36" s="4">
        <v>0.2379</v>
      </c>
      <c r="O36" s="3" t="s">
        <v>205</v>
      </c>
      <c r="P36" s="5">
        <v>340</v>
      </c>
      <c r="Q36" s="5">
        <v>645.3214</v>
      </c>
      <c r="R36" s="5">
        <v>662.5</v>
      </c>
      <c r="S36" s="5">
        <v>860</v>
      </c>
      <c r="T36" s="7">
        <v>9.75</v>
      </c>
      <c r="U36" s="7">
        <v>16.16607</v>
      </c>
      <c r="V36" s="7">
        <v>21.07667</v>
      </c>
    </row>
    <row r="37" spans="1:22" ht="18" customHeight="1">
      <c r="A37" s="3" t="s">
        <v>179</v>
      </c>
      <c r="B37" s="4">
        <v>0.00638673</v>
      </c>
      <c r="C37" s="4">
        <v>0.3477202009983393</v>
      </c>
      <c r="D37" s="4">
        <v>-0.4167777263245039</v>
      </c>
      <c r="E37" s="4">
        <v>0.07424226406901036</v>
      </c>
      <c r="F37" s="4">
        <v>0.1225656493007963</v>
      </c>
      <c r="G37" s="4">
        <v>0.2951200841621855</v>
      </c>
      <c r="H37" s="15"/>
      <c r="I37" s="6">
        <v>1562.969970703125</v>
      </c>
      <c r="J37" s="7">
        <v>51.39658</v>
      </c>
      <c r="K37" s="7">
        <v>32.4208</v>
      </c>
      <c r="L37" s="4">
        <v>0.5420508917093201</v>
      </c>
      <c r="M37" s="4">
        <v>0.2711</v>
      </c>
      <c r="N37" s="4">
        <v>0.3022</v>
      </c>
      <c r="O37" s="3" t="s">
        <v>179</v>
      </c>
      <c r="P37" s="5">
        <v>911.5589</v>
      </c>
      <c r="Q37" s="5">
        <v>1679.0084</v>
      </c>
      <c r="R37" s="5">
        <v>1754.5364</v>
      </c>
      <c r="S37" s="5">
        <v>2024.2338</v>
      </c>
      <c r="T37" s="7">
        <v>26.26</v>
      </c>
      <c r="U37" s="7">
        <v>31.40828</v>
      </c>
      <c r="V37" s="7">
        <v>40.90003</v>
      </c>
    </row>
    <row r="38" spans="1:22" ht="18" customHeight="1">
      <c r="A38" s="3" t="s">
        <v>249</v>
      </c>
      <c r="B38" s="4">
        <v>0.006182790000000001</v>
      </c>
      <c r="C38" s="4">
        <v>0.1298926221804144</v>
      </c>
      <c r="D38" s="4">
        <v>-0.100939908998778</v>
      </c>
      <c r="E38" s="4">
        <v>0.1256359479146147</v>
      </c>
      <c r="F38" s="4">
        <v>0.1100667699346907</v>
      </c>
      <c r="G38" s="4">
        <v>0.3349680139109055</v>
      </c>
      <c r="H38" s="15"/>
      <c r="I38" s="6">
        <v>220.2299957275391</v>
      </c>
      <c r="J38" s="7">
        <v>35.1244</v>
      </c>
      <c r="K38" s="7">
        <v>19.19035</v>
      </c>
      <c r="L38" s="4">
        <v>-0.06212456154538604</v>
      </c>
      <c r="M38" s="4">
        <v>0.0764</v>
      </c>
      <c r="N38" s="4">
        <v>0.090100005</v>
      </c>
      <c r="O38" s="3" t="s">
        <v>249</v>
      </c>
      <c r="P38" s="5">
        <v>198</v>
      </c>
      <c r="Q38" s="5">
        <v>247.8988</v>
      </c>
      <c r="R38" s="5">
        <v>244.47</v>
      </c>
      <c r="S38" s="5">
        <v>294</v>
      </c>
      <c r="T38" s="7">
        <v>7.36</v>
      </c>
      <c r="U38" s="7">
        <v>10.5273</v>
      </c>
      <c r="V38" s="7">
        <v>11.47608</v>
      </c>
    </row>
    <row r="39" spans="1:22" ht="18" customHeight="1">
      <c r="A39" s="3" t="s">
        <v>250</v>
      </c>
      <c r="B39" s="4">
        <v>0.00617785</v>
      </c>
      <c r="C39" s="4">
        <v>-0.3463740331125436</v>
      </c>
      <c r="D39" s="4">
        <v>0.02199729592390276</v>
      </c>
      <c r="E39" s="4">
        <v>0.4933057542344292</v>
      </c>
      <c r="F39" s="4">
        <v>0.4599961370341468</v>
      </c>
      <c r="G39" s="4">
        <v>0.946661516045529</v>
      </c>
      <c r="H39" s="15"/>
      <c r="I39" s="6">
        <v>102.7399978637695</v>
      </c>
      <c r="J39" s="7">
        <v>100.710785</v>
      </c>
      <c r="K39" s="7">
        <v>44.23607</v>
      </c>
      <c r="L39" s="4">
        <v>0.4969776159961721</v>
      </c>
      <c r="M39" s="4">
        <v>0.2753</v>
      </c>
      <c r="N39" s="4">
        <v>0.2733</v>
      </c>
      <c r="O39" s="3" t="s">
        <v>250</v>
      </c>
      <c r="P39" s="5">
        <v>105</v>
      </c>
      <c r="Q39" s="5">
        <v>153.42223</v>
      </c>
      <c r="R39" s="5">
        <v>150</v>
      </c>
      <c r="S39" s="5">
        <v>200</v>
      </c>
      <c r="T39" s="7">
        <v>1.559579</v>
      </c>
      <c r="U39" s="7">
        <v>1.82373</v>
      </c>
      <c r="V39" s="7">
        <v>2.3222</v>
      </c>
    </row>
    <row r="40" spans="1:22" ht="18" customHeight="1">
      <c r="A40" s="3" t="s">
        <v>204</v>
      </c>
      <c r="B40" s="4">
        <v>0.006072109999999999</v>
      </c>
      <c r="C40" s="4">
        <v>0.1888310693418092</v>
      </c>
      <c r="D40" s="4">
        <v>-0.3175453640761974</v>
      </c>
      <c r="E40" s="4">
        <v>-0.08537259079832982</v>
      </c>
      <c r="F40" s="4">
        <v>-0.0727518533643986</v>
      </c>
      <c r="G40" s="4">
        <v>0.3092743830494693</v>
      </c>
      <c r="H40" s="15"/>
      <c r="I40" s="6">
        <v>539.22998046875</v>
      </c>
      <c r="J40" s="9" t="s">
        <v>79</v>
      </c>
      <c r="K40" s="7">
        <v>87.42323</v>
      </c>
      <c r="L40" s="4">
        <v>0.3495710678525419</v>
      </c>
      <c r="M40" s="4">
        <v>0.3014</v>
      </c>
      <c r="N40" s="4">
        <v>0.2707</v>
      </c>
      <c r="O40" s="3" t="s">
        <v>204</v>
      </c>
      <c r="P40" s="5">
        <v>368</v>
      </c>
      <c r="Q40" s="5">
        <v>493.19452</v>
      </c>
      <c r="R40" s="5">
        <v>500</v>
      </c>
      <c r="S40" s="5">
        <v>706</v>
      </c>
      <c r="T40" s="7">
        <v>-0.08</v>
      </c>
      <c r="U40" s="7">
        <v>4.85415</v>
      </c>
      <c r="V40" s="7">
        <v>6.16804</v>
      </c>
    </row>
    <row r="41" spans="1:22" ht="18" customHeight="1">
      <c r="A41" s="3" t="s">
        <v>251</v>
      </c>
      <c r="B41" s="4">
        <v>0.00599631</v>
      </c>
      <c r="C41" s="4">
        <v>-0.2603675382225041</v>
      </c>
      <c r="D41" s="4">
        <v>0.1137274521853096</v>
      </c>
      <c r="E41" s="4">
        <v>0.4281532045223426</v>
      </c>
      <c r="F41" s="4">
        <v>0.4001145113186748</v>
      </c>
      <c r="G41" s="4">
        <v>0.8965187471498413</v>
      </c>
      <c r="H41" s="15"/>
      <c r="I41" s="6">
        <v>157.1300048828125</v>
      </c>
      <c r="J41" s="7">
        <v>20.729553</v>
      </c>
      <c r="K41" s="7">
        <v>12.770592</v>
      </c>
      <c r="L41" s="4">
        <v>0.09539159244714623</v>
      </c>
      <c r="M41" s="4">
        <v>0.146</v>
      </c>
      <c r="N41" s="4">
        <v>0.1769</v>
      </c>
      <c r="O41" s="3" t="s">
        <v>251</v>
      </c>
      <c r="P41" s="5">
        <v>175</v>
      </c>
      <c r="Q41" s="5">
        <v>224.40572</v>
      </c>
      <c r="R41" s="5">
        <v>220</v>
      </c>
      <c r="S41" s="5">
        <v>298</v>
      </c>
      <c r="T41" s="7">
        <v>6.6228</v>
      </c>
      <c r="U41" s="7">
        <v>10.4546</v>
      </c>
      <c r="V41" s="7">
        <v>12.30405</v>
      </c>
    </row>
    <row r="42" spans="1:22" ht="18" customHeight="1">
      <c r="A42" s="3" t="s">
        <v>252</v>
      </c>
      <c r="B42" s="4">
        <v>0.00545585</v>
      </c>
      <c r="C42" s="4">
        <v>0.26953755502788</v>
      </c>
      <c r="D42" s="4">
        <v>-0.2447129778797975</v>
      </c>
      <c r="E42" s="4">
        <v>-0.002854495602077511</v>
      </c>
      <c r="F42" s="4">
        <v>0.01963747986227338</v>
      </c>
      <c r="G42" s="4">
        <v>0.2934290253808467</v>
      </c>
      <c r="H42" s="15"/>
      <c r="I42" s="6">
        <v>105.9199981689453</v>
      </c>
      <c r="J42" s="7">
        <v>80.85496500000001</v>
      </c>
      <c r="K42" s="7">
        <v>35.14092</v>
      </c>
      <c r="L42" s="4">
        <v>-0.06210583974846606</v>
      </c>
      <c r="M42" s="4">
        <v>0.1197</v>
      </c>
      <c r="N42" s="4">
        <v>0.2638</v>
      </c>
      <c r="O42" s="3" t="s">
        <v>252</v>
      </c>
      <c r="P42" s="5">
        <v>80</v>
      </c>
      <c r="Q42" s="5">
        <v>105.61765</v>
      </c>
      <c r="R42" s="5">
        <v>108</v>
      </c>
      <c r="S42" s="5">
        <v>137</v>
      </c>
      <c r="T42" s="7">
        <v>1.63</v>
      </c>
      <c r="U42" s="7">
        <v>2.3849</v>
      </c>
      <c r="V42" s="7">
        <v>3.01415</v>
      </c>
    </row>
    <row r="43" spans="1:22" ht="18" customHeight="1">
      <c r="A43" s="3" t="s">
        <v>253</v>
      </c>
      <c r="B43" s="4">
        <v>0.00501609</v>
      </c>
      <c r="C43" s="4">
        <v>-0.189604879143218</v>
      </c>
      <c r="D43" s="4">
        <v>-0.08100267658131888</v>
      </c>
      <c r="E43" s="4">
        <v>0.2404490248552345</v>
      </c>
      <c r="F43" s="4">
        <v>0.283694866229105</v>
      </c>
      <c r="G43" s="4">
        <v>0.4878040368121821</v>
      </c>
      <c r="H43" s="15"/>
      <c r="I43" s="6">
        <v>296.4100036621094</v>
      </c>
      <c r="J43" s="7">
        <v>40.00135</v>
      </c>
      <c r="K43" s="7">
        <v>21.816605</v>
      </c>
      <c r="L43" s="4">
        <v>0.4643410999019715</v>
      </c>
      <c r="M43" s="4">
        <v>0.237</v>
      </c>
      <c r="N43" s="4">
        <v>0.1697</v>
      </c>
      <c r="O43" s="3" t="s">
        <v>253</v>
      </c>
      <c r="P43" s="5">
        <v>272.4</v>
      </c>
      <c r="Q43" s="5">
        <v>367.6815</v>
      </c>
      <c r="R43" s="5">
        <v>380.5</v>
      </c>
      <c r="S43" s="5">
        <v>441</v>
      </c>
      <c r="T43" s="7">
        <v>7.4</v>
      </c>
      <c r="U43" s="7">
        <v>11.61563</v>
      </c>
      <c r="V43" s="7">
        <v>13.58644</v>
      </c>
    </row>
    <row r="44" spans="1:22" ht="18" customHeight="1">
      <c r="A44" s="3" t="s">
        <v>207</v>
      </c>
      <c r="B44" s="4">
        <v>0.005001879999999999</v>
      </c>
      <c r="C44" s="4">
        <v>-0.3771384861241035</v>
      </c>
      <c r="D44" s="4">
        <v>0.08935249921230337</v>
      </c>
      <c r="E44" s="4">
        <v>0.5228114976500511</v>
      </c>
      <c r="F44" s="4">
        <v>0.5122775871417857</v>
      </c>
      <c r="G44" s="4">
        <v>1.3478750335964</v>
      </c>
      <c r="H44" s="15"/>
      <c r="I44" s="6">
        <v>390.1400146484375</v>
      </c>
      <c r="J44" s="7">
        <v>25.36671</v>
      </c>
      <c r="K44" s="7">
        <v>14.731376</v>
      </c>
      <c r="L44" s="4">
        <v>0.07066091471155223</v>
      </c>
      <c r="M44" s="4">
        <v>0.1526</v>
      </c>
      <c r="N44" s="4">
        <v>0.14029999</v>
      </c>
      <c r="O44" s="3" t="s">
        <v>207</v>
      </c>
      <c r="P44" s="5">
        <v>425</v>
      </c>
      <c r="Q44" s="5">
        <v>594.1097</v>
      </c>
      <c r="R44" s="5">
        <v>590</v>
      </c>
      <c r="S44" s="5">
        <v>916</v>
      </c>
      <c r="T44" s="7">
        <v>13.67</v>
      </c>
      <c r="U44" s="7">
        <v>23.2242</v>
      </c>
      <c r="V44" s="7">
        <v>26.48361</v>
      </c>
    </row>
    <row r="45" spans="1:22" ht="18" customHeight="1">
      <c r="A45" s="3" t="s">
        <v>254</v>
      </c>
      <c r="B45" s="4">
        <v>0.004983159999999999</v>
      </c>
      <c r="C45" s="4">
        <v>-0.03740075526837083</v>
      </c>
      <c r="D45" s="4">
        <v>-0.2417627887633439</v>
      </c>
      <c r="E45" s="4">
        <v>0.2625798411349773</v>
      </c>
      <c r="F45" s="4">
        <v>0.2855567263239669</v>
      </c>
      <c r="G45" s="4">
        <v>0.4728183406142319</v>
      </c>
      <c r="H45" s="15"/>
      <c r="I45" s="6">
        <v>435.2200012207031</v>
      </c>
      <c r="J45" s="7">
        <v>25.829079</v>
      </c>
      <c r="K45" s="7">
        <v>20.161804</v>
      </c>
      <c r="L45" s="4">
        <v>0.1173106625599507</v>
      </c>
      <c r="M45" s="4">
        <v>0.042</v>
      </c>
      <c r="N45" s="4">
        <v>0.1259</v>
      </c>
      <c r="O45" s="3" t="s">
        <v>254</v>
      </c>
      <c r="P45" s="5">
        <v>330</v>
      </c>
      <c r="Q45" s="5">
        <v>549.5</v>
      </c>
      <c r="R45" s="5">
        <v>559.5</v>
      </c>
      <c r="S45" s="5">
        <v>641</v>
      </c>
      <c r="T45" s="7">
        <v>15.32</v>
      </c>
      <c r="U45" s="7">
        <v>19.17196</v>
      </c>
      <c r="V45" s="7">
        <v>21.58636</v>
      </c>
    </row>
    <row r="46" spans="1:22" ht="18" customHeight="1">
      <c r="A46" s="3" t="s">
        <v>208</v>
      </c>
      <c r="B46" s="4">
        <v>0.00470746</v>
      </c>
      <c r="C46" s="4">
        <v>-0.2636363586420785</v>
      </c>
      <c r="D46" s="4">
        <v>-0.1036140383599117</v>
      </c>
      <c r="E46" s="4">
        <v>0.3362466274985234</v>
      </c>
      <c r="F46" s="4">
        <v>0.282463469800118</v>
      </c>
      <c r="G46" s="4">
        <v>0.9842725605396501</v>
      </c>
      <c r="H46" s="15"/>
      <c r="I46" s="6">
        <v>245.4299926757812</v>
      </c>
      <c r="J46" s="7">
        <v>14.302447</v>
      </c>
      <c r="K46" s="7">
        <v>9.301413999999999</v>
      </c>
      <c r="L46" s="4">
        <v>-0.2063719042304422</v>
      </c>
      <c r="M46" s="4">
        <v>0.1246</v>
      </c>
      <c r="N46" s="4">
        <v>0.1205</v>
      </c>
      <c r="O46" s="3" t="s">
        <v>208</v>
      </c>
      <c r="P46" s="5">
        <v>220</v>
      </c>
      <c r="Q46" s="5">
        <v>327.955</v>
      </c>
      <c r="R46" s="5">
        <v>314.755</v>
      </c>
      <c r="S46" s="5">
        <v>487</v>
      </c>
      <c r="T46" s="7">
        <v>16.7</v>
      </c>
      <c r="U46" s="7">
        <v>23.54855</v>
      </c>
      <c r="V46" s="7">
        <v>26.38631</v>
      </c>
    </row>
    <row r="47" spans="1:22" ht="18" customHeight="1">
      <c r="A47" s="3" t="s">
        <v>198</v>
      </c>
      <c r="B47" s="4">
        <v>0.00457012</v>
      </c>
      <c r="C47" s="4">
        <v>0.1694910338390199</v>
      </c>
      <c r="D47" s="4">
        <v>-0.2424451320845067</v>
      </c>
      <c r="E47" s="4">
        <v>0.04555601716066238</v>
      </c>
      <c r="F47" s="4">
        <v>0.0674636775172861</v>
      </c>
      <c r="G47" s="4">
        <v>0.170766614051217</v>
      </c>
      <c r="H47" s="15"/>
      <c r="I47" s="6">
        <v>363.010009765625</v>
      </c>
      <c r="J47" s="7">
        <v>84.81542</v>
      </c>
      <c r="K47" s="7">
        <v>38.69762</v>
      </c>
      <c r="L47" s="4">
        <v>0.05012424486526834</v>
      </c>
      <c r="M47" s="4">
        <v>0.11399999</v>
      </c>
      <c r="N47" s="4">
        <v>0.17940001</v>
      </c>
      <c r="O47" s="3" t="s">
        <v>198</v>
      </c>
      <c r="P47" s="5">
        <v>275</v>
      </c>
      <c r="Q47" s="5">
        <v>379.5473</v>
      </c>
      <c r="R47" s="5">
        <v>387.5</v>
      </c>
      <c r="S47" s="5">
        <v>425</v>
      </c>
      <c r="T47" s="7">
        <v>4.06</v>
      </c>
      <c r="U47" s="7">
        <v>4.49478</v>
      </c>
      <c r="V47" s="7">
        <v>9.38068</v>
      </c>
    </row>
    <row r="48" spans="1:22" ht="18" customHeight="1">
      <c r="A48" s="3" t="s">
        <v>197</v>
      </c>
      <c r="B48" s="4">
        <v>0.00451531</v>
      </c>
      <c r="C48" s="4">
        <v>0.07378956058995567</v>
      </c>
      <c r="D48" s="4">
        <v>-0.2171477236076513</v>
      </c>
      <c r="E48" s="4">
        <v>0.03640084723002124</v>
      </c>
      <c r="F48" s="4">
        <v>0.04677536028690921</v>
      </c>
      <c r="G48" s="4">
        <v>0.2600073781231313</v>
      </c>
      <c r="H48" s="15"/>
      <c r="I48" s="6">
        <v>515.8699951171875</v>
      </c>
      <c r="J48" s="7">
        <v>79.2427</v>
      </c>
      <c r="K48" s="7">
        <v>30.257244</v>
      </c>
      <c r="L48" s="4">
        <v>-0.02699119374271752</v>
      </c>
      <c r="M48" s="4">
        <v>0.1195</v>
      </c>
      <c r="N48" s="4">
        <v>0.17959999</v>
      </c>
      <c r="O48" s="3" t="s">
        <v>197</v>
      </c>
      <c r="P48" s="5">
        <v>403.85</v>
      </c>
      <c r="Q48" s="5">
        <v>534.6481</v>
      </c>
      <c r="R48" s="5">
        <v>540</v>
      </c>
      <c r="S48" s="5">
        <v>650</v>
      </c>
      <c r="T48" s="7">
        <v>8.039999999999999</v>
      </c>
      <c r="U48" s="7">
        <v>14.45319</v>
      </c>
      <c r="V48" s="7">
        <v>17.04947</v>
      </c>
    </row>
    <row r="49" spans="1:22" ht="18" customHeight="1">
      <c r="A49" s="3" t="s">
        <v>255</v>
      </c>
      <c r="B49" s="4">
        <v>0.00427111</v>
      </c>
      <c r="C49" s="4">
        <v>0.1177388520894846</v>
      </c>
      <c r="D49" s="4">
        <v>-0.2220458695416886</v>
      </c>
      <c r="E49" s="4">
        <v>0.07886318436148199</v>
      </c>
      <c r="F49" s="4">
        <v>0.1025783723958789</v>
      </c>
      <c r="G49" s="4">
        <v>0.2756159639132605</v>
      </c>
      <c r="H49" s="15"/>
      <c r="I49" s="6">
        <v>349.635009765625</v>
      </c>
      <c r="J49" s="7">
        <v>36.649372</v>
      </c>
      <c r="K49" s="7">
        <v>26.881208</v>
      </c>
      <c r="L49" s="4">
        <v>0.1414410204361269</v>
      </c>
      <c r="M49" s="4">
        <v>0.15439999</v>
      </c>
      <c r="N49" s="4">
        <v>0.1241</v>
      </c>
      <c r="O49" s="3" t="s">
        <v>255</v>
      </c>
      <c r="P49" s="5">
        <v>272</v>
      </c>
      <c r="Q49" s="5">
        <v>377.20834</v>
      </c>
      <c r="R49" s="5">
        <v>385.5</v>
      </c>
      <c r="S49" s="5">
        <v>446</v>
      </c>
      <c r="T49" s="7">
        <v>9.51</v>
      </c>
      <c r="U49" s="7">
        <v>11.56758</v>
      </c>
      <c r="V49" s="7">
        <v>13.00348</v>
      </c>
    </row>
    <row r="50" spans="1:22" ht="18" customHeight="1">
      <c r="A50" s="3" t="s">
        <v>256</v>
      </c>
      <c r="B50" s="4">
        <v>0.00415968</v>
      </c>
      <c r="C50" s="4">
        <v>-0.07263561026107057</v>
      </c>
      <c r="D50" s="4">
        <v>-0.162846291949886</v>
      </c>
      <c r="E50" s="4">
        <v>0.3107813912719237</v>
      </c>
      <c r="F50" s="4">
        <v>0.3155272555073221</v>
      </c>
      <c r="G50" s="4">
        <v>0.7540363406764294</v>
      </c>
      <c r="H50" s="15"/>
      <c r="I50" s="6">
        <v>25.08499908447266</v>
      </c>
      <c r="J50" s="7">
        <v>4.9186273</v>
      </c>
      <c r="K50" s="7">
        <v>6.5801034</v>
      </c>
      <c r="L50" s="4">
        <v>-0.1710519946239907</v>
      </c>
      <c r="M50" s="4">
        <v>-0.17989999</v>
      </c>
      <c r="N50" s="4">
        <v>0.0785</v>
      </c>
      <c r="O50" s="3" t="s">
        <v>256</v>
      </c>
      <c r="P50" s="5">
        <v>21</v>
      </c>
      <c r="Q50" s="5">
        <v>32.88095</v>
      </c>
      <c r="R50" s="5">
        <v>33</v>
      </c>
      <c r="S50" s="5">
        <v>44</v>
      </c>
      <c r="T50" s="7">
        <v>5.39</v>
      </c>
      <c r="U50" s="7">
        <v>3.53477</v>
      </c>
      <c r="V50" s="7">
        <v>3.81225</v>
      </c>
    </row>
    <row r="51" spans="1:22" ht="18" customHeight="1">
      <c r="A51" s="3" t="s">
        <v>257</v>
      </c>
      <c r="B51" s="4">
        <v>0.00391395</v>
      </c>
      <c r="C51" s="4">
        <v>-0.1594357463845906</v>
      </c>
      <c r="D51" s="4">
        <v>-0.09875726496963733</v>
      </c>
      <c r="E51" s="4">
        <v>0.1595990015503428</v>
      </c>
      <c r="F51" s="4">
        <v>0.1384118758278265</v>
      </c>
      <c r="G51" s="4">
        <v>0.4467317588645296</v>
      </c>
      <c r="H51" s="15"/>
      <c r="I51" s="6">
        <v>210.8200073242188</v>
      </c>
      <c r="J51" s="7">
        <v>19.684408</v>
      </c>
      <c r="K51" s="7">
        <v>17.3476</v>
      </c>
      <c r="L51" s="4">
        <v>-0.0922445909066576</v>
      </c>
      <c r="M51" s="4">
        <v>0.10560001</v>
      </c>
      <c r="N51" s="4">
        <v>0.09810001</v>
      </c>
      <c r="O51" s="3" t="s">
        <v>257</v>
      </c>
      <c r="P51" s="5">
        <v>190</v>
      </c>
      <c r="Q51" s="5">
        <v>244.46667</v>
      </c>
      <c r="R51" s="5">
        <v>240</v>
      </c>
      <c r="S51" s="5">
        <v>305</v>
      </c>
      <c r="T51" s="7">
        <v>9.98</v>
      </c>
      <c r="U51" s="7">
        <v>11.06751</v>
      </c>
      <c r="V51" s="7">
        <v>12.15269</v>
      </c>
    </row>
    <row r="52" spans="1:22" ht="18" customHeight="1">
      <c r="A52" s="3" t="s">
        <v>114</v>
      </c>
      <c r="B52" s="4">
        <v>0.00385252</v>
      </c>
      <c r="C52" s="4">
        <v>0.1248030041540928</v>
      </c>
      <c r="D52" s="4">
        <v>-0.2529037609757431</v>
      </c>
      <c r="E52" s="4">
        <v>0.02656708177376732</v>
      </c>
      <c r="F52" s="4">
        <v>0.05060408612786116</v>
      </c>
      <c r="G52" s="4">
        <v>0.1906846309449093</v>
      </c>
      <c r="H52" s="15"/>
      <c r="I52" s="6">
        <v>85.66500091552734</v>
      </c>
      <c r="J52" s="7">
        <v>41.38406</v>
      </c>
      <c r="K52" s="7">
        <v>33.383865</v>
      </c>
      <c r="L52" s="4">
        <v>0.4656852639291322</v>
      </c>
      <c r="M52" s="4">
        <v>0.14729999</v>
      </c>
      <c r="N52" s="4">
        <v>0.12560001</v>
      </c>
      <c r="O52" s="3" t="s">
        <v>114</v>
      </c>
      <c r="P52" s="5">
        <v>64</v>
      </c>
      <c r="Q52" s="5">
        <v>87.94087</v>
      </c>
      <c r="R52" s="5">
        <v>90</v>
      </c>
      <c r="S52" s="5">
        <v>102</v>
      </c>
      <c r="T52" s="7">
        <v>1.94</v>
      </c>
      <c r="U52" s="7">
        <v>2.27211</v>
      </c>
      <c r="V52" s="7">
        <v>2.54588</v>
      </c>
    </row>
    <row r="53" spans="1:22" ht="18" customHeight="1">
      <c r="A53" s="3" t="s">
        <v>211</v>
      </c>
      <c r="B53" s="4">
        <v>0.00385197</v>
      </c>
      <c r="C53" s="4">
        <v>0.4761171435381288</v>
      </c>
      <c r="D53" s="4">
        <v>-0.3910925490825381</v>
      </c>
      <c r="E53" s="4">
        <v>-0.08228948468868236</v>
      </c>
      <c r="F53" s="4">
        <v>-0.05184411214280926</v>
      </c>
      <c r="G53" s="4">
        <v>0.1308281231324293</v>
      </c>
      <c r="H53" s="15"/>
      <c r="I53" s="6">
        <v>114.9599990844727</v>
      </c>
      <c r="J53" s="7">
        <v>44.55814</v>
      </c>
      <c r="K53" s="7">
        <v>33.616787</v>
      </c>
      <c r="L53" s="4">
        <v>-0.1618996974975264</v>
      </c>
      <c r="M53" s="4">
        <v>0.1362</v>
      </c>
      <c r="N53" s="4">
        <v>0.09050000499999999</v>
      </c>
      <c r="O53" s="3" t="s">
        <v>211</v>
      </c>
      <c r="P53" s="5">
        <v>70</v>
      </c>
      <c r="Q53" s="5">
        <v>105.5</v>
      </c>
      <c r="R53" s="5">
        <v>109</v>
      </c>
      <c r="S53" s="5">
        <v>130</v>
      </c>
      <c r="T53" s="7">
        <v>2.42</v>
      </c>
      <c r="U53" s="7">
        <v>3.13604</v>
      </c>
      <c r="V53" s="7">
        <v>3.41972</v>
      </c>
    </row>
    <row r="54" spans="1:22" ht="18" customHeight="1">
      <c r="A54" s="3" t="s">
        <v>258</v>
      </c>
      <c r="B54" s="4">
        <v>0.00380455</v>
      </c>
      <c r="C54" s="4">
        <v>0.2374504221013252</v>
      </c>
      <c r="D54" s="4">
        <v>-0.3293841602617956</v>
      </c>
      <c r="E54" s="4">
        <v>0.01807263616000387</v>
      </c>
      <c r="F54" s="4">
        <v>0.05063148225652014</v>
      </c>
      <c r="G54" s="4">
        <v>0.1624007888795542</v>
      </c>
      <c r="H54" s="15"/>
      <c r="I54" s="6">
        <v>44.73500061035156</v>
      </c>
      <c r="J54" s="7">
        <v>27.444786</v>
      </c>
      <c r="K54" s="7">
        <v>20.785322</v>
      </c>
      <c r="L54" s="4">
        <v>0.1452345940752551</v>
      </c>
      <c r="M54" s="4">
        <v>0.18020001</v>
      </c>
      <c r="N54" s="4">
        <v>0.13270001</v>
      </c>
      <c r="O54" s="3" t="s">
        <v>258</v>
      </c>
      <c r="P54" s="5">
        <v>30</v>
      </c>
      <c r="Q54" s="5">
        <v>45.54348</v>
      </c>
      <c r="R54" s="5">
        <v>47</v>
      </c>
      <c r="S54" s="5">
        <v>52</v>
      </c>
      <c r="T54" s="7">
        <v>1.54</v>
      </c>
      <c r="U54" s="7">
        <v>1.90013</v>
      </c>
      <c r="V54" s="7">
        <v>2.15224</v>
      </c>
    </row>
    <row r="55" spans="1:22" ht="18" customHeight="1">
      <c r="A55" s="3" t="s">
        <v>259</v>
      </c>
      <c r="B55" s="4">
        <v>0.00377725</v>
      </c>
      <c r="C55" s="4">
        <v>-0.2204514319465877</v>
      </c>
      <c r="D55" s="4">
        <v>0.1698985335805532</v>
      </c>
      <c r="E55" s="4">
        <v>0.5246897621977489</v>
      </c>
      <c r="F55" s="4">
        <v>0.546865838845398</v>
      </c>
      <c r="G55" s="4">
        <v>1.274802704184409</v>
      </c>
      <c r="H55" s="15"/>
      <c r="I55" s="6">
        <v>1538.594970703125</v>
      </c>
      <c r="J55" s="7">
        <v>40.628334</v>
      </c>
      <c r="K55" s="7">
        <v>24.055563</v>
      </c>
      <c r="L55" s="4">
        <v>0.1412238015669263</v>
      </c>
      <c r="M55" s="4">
        <v>0.1382</v>
      </c>
      <c r="N55" s="4">
        <v>0.42630002</v>
      </c>
      <c r="O55" s="3" t="s">
        <v>259</v>
      </c>
      <c r="P55" s="5">
        <v>1800</v>
      </c>
      <c r="Q55" s="5">
        <v>2345.88</v>
      </c>
      <c r="R55" s="5">
        <v>2380</v>
      </c>
      <c r="S55" s="5">
        <v>3500</v>
      </c>
      <c r="T55" s="7">
        <v>39.4</v>
      </c>
      <c r="U55" s="7">
        <v>44.93015</v>
      </c>
      <c r="V55" s="7">
        <v>64.10901</v>
      </c>
    </row>
    <row r="56" spans="1:22" ht="18" customHeight="1">
      <c r="A56" s="3" t="s">
        <v>260</v>
      </c>
      <c r="B56" s="4">
        <v>0.00360071</v>
      </c>
      <c r="C56" s="4">
        <v>0.1545514496025153</v>
      </c>
      <c r="D56" s="4">
        <v>-0.1043803918472447</v>
      </c>
      <c r="E56" s="4">
        <v>0.09428432123391195</v>
      </c>
      <c r="F56" s="4">
        <v>0.09102752265881109</v>
      </c>
      <c r="G56" s="4">
        <v>0.2212994656628482</v>
      </c>
      <c r="H56" s="15"/>
      <c r="I56" s="6">
        <v>61.40999984741211</v>
      </c>
      <c r="J56" s="7">
        <v>30.40099</v>
      </c>
      <c r="K56" s="7">
        <v>18.117022</v>
      </c>
      <c r="L56" s="4">
        <v>-0.06671318618090238</v>
      </c>
      <c r="M56" s="4">
        <v>0.0466</v>
      </c>
      <c r="N56" s="4">
        <v>0.1092</v>
      </c>
      <c r="O56" s="3" t="s">
        <v>260</v>
      </c>
      <c r="P56" s="5">
        <v>55</v>
      </c>
      <c r="Q56" s="5">
        <v>67.2</v>
      </c>
      <c r="R56" s="5">
        <v>67</v>
      </c>
      <c r="S56" s="5">
        <v>75</v>
      </c>
      <c r="T56" s="7">
        <v>1.89</v>
      </c>
      <c r="U56" s="7">
        <v>3.05601</v>
      </c>
      <c r="V56" s="7">
        <v>3.38963</v>
      </c>
    </row>
    <row r="57" spans="1:22" ht="18" customHeight="1">
      <c r="A57" s="3" t="s">
        <v>123</v>
      </c>
      <c r="B57" s="4">
        <v>0.00358845</v>
      </c>
      <c r="C57" s="4">
        <v>0.7606607857637682</v>
      </c>
      <c r="D57" s="4">
        <v>-0.08827613480424978</v>
      </c>
      <c r="E57" s="4">
        <v>0.09233198661647535</v>
      </c>
      <c r="F57" s="4">
        <v>0.1016663371115314</v>
      </c>
      <c r="G57" s="4">
        <v>0.2156318202610001</v>
      </c>
      <c r="H57" s="15"/>
      <c r="I57" s="6">
        <v>1645.234985351562</v>
      </c>
      <c r="J57" s="7">
        <v>118.107315</v>
      </c>
      <c r="K57" s="7">
        <v>54.552296</v>
      </c>
      <c r="L57" s="4">
        <v>0.5379547680506784</v>
      </c>
      <c r="M57" s="4">
        <v>0.3518</v>
      </c>
      <c r="N57" s="4">
        <v>0.2555</v>
      </c>
      <c r="O57" s="3" t="s">
        <v>123</v>
      </c>
      <c r="P57" s="5">
        <v>1500</v>
      </c>
      <c r="Q57" s="5">
        <v>1797.1428</v>
      </c>
      <c r="R57" s="5">
        <v>1812.5</v>
      </c>
      <c r="S57" s="5">
        <v>2000</v>
      </c>
      <c r="T57" s="7">
        <v>12.86</v>
      </c>
      <c r="U57" s="7">
        <v>24.02205</v>
      </c>
      <c r="V57" s="7">
        <v>30.15886</v>
      </c>
    </row>
    <row r="58" spans="1:22" ht="18" customHeight="1">
      <c r="A58" s="3" t="s">
        <v>261</v>
      </c>
      <c r="B58" s="4">
        <v>0.00355727</v>
      </c>
      <c r="C58" s="4">
        <v>0.001826443681824053</v>
      </c>
      <c r="D58" s="4">
        <v>-0.292856726786067</v>
      </c>
      <c r="E58" s="4">
        <v>0.2061949429635197</v>
      </c>
      <c r="F58" s="4">
        <v>0.2154025008364473</v>
      </c>
      <c r="G58" s="4">
        <v>0.3258936372761243</v>
      </c>
      <c r="H58" s="15"/>
      <c r="I58" s="6">
        <v>90.50499725341797</v>
      </c>
      <c r="J58" s="7">
        <v>29.480455</v>
      </c>
      <c r="K58" s="7">
        <v>25.051622</v>
      </c>
      <c r="L58" s="4">
        <v>0.1519226336934669</v>
      </c>
      <c r="M58" s="4">
        <v>0.0954</v>
      </c>
      <c r="N58" s="4">
        <v>0.1104</v>
      </c>
      <c r="O58" s="3" t="s">
        <v>261</v>
      </c>
      <c r="P58" s="5">
        <v>64</v>
      </c>
      <c r="Q58" s="5">
        <v>109.16667</v>
      </c>
      <c r="R58" s="5">
        <v>110</v>
      </c>
      <c r="S58" s="5">
        <v>120</v>
      </c>
      <c r="T58" s="7">
        <v>2.97</v>
      </c>
      <c r="U58" s="7">
        <v>3.2549</v>
      </c>
      <c r="V58" s="7">
        <v>3.61459</v>
      </c>
    </row>
    <row r="59" spans="1:22" ht="18" customHeight="1">
      <c r="A59" s="3" t="s">
        <v>184</v>
      </c>
      <c r="B59" s="4">
        <v>0.00339916</v>
      </c>
      <c r="C59" s="4">
        <v>0.3707339341817186</v>
      </c>
      <c r="D59" s="4">
        <v>-0.3371996685998343</v>
      </c>
      <c r="E59" s="4">
        <v>-0.0157415078707539</v>
      </c>
      <c r="F59" s="4">
        <v>-0.005799502899751396</v>
      </c>
      <c r="G59" s="4">
        <v>0.1433305716652857</v>
      </c>
      <c r="H59" s="15"/>
      <c r="I59" s="6">
        <v>301.75</v>
      </c>
      <c r="J59" s="7">
        <v>28.847992</v>
      </c>
      <c r="K59" s="7">
        <v>17.127748</v>
      </c>
      <c r="L59" s="4">
        <v>0.07239398214187198</v>
      </c>
      <c r="M59" s="4">
        <v>0.2494</v>
      </c>
      <c r="N59" s="4">
        <v>0.19389999</v>
      </c>
      <c r="O59" s="3" t="s">
        <v>184</v>
      </c>
      <c r="P59" s="5">
        <v>200</v>
      </c>
      <c r="Q59" s="5">
        <v>297</v>
      </c>
      <c r="R59" s="5">
        <v>300</v>
      </c>
      <c r="S59" s="5">
        <v>345</v>
      </c>
      <c r="T59" s="7">
        <v>7.95</v>
      </c>
      <c r="U59" s="7">
        <v>14.7559</v>
      </c>
      <c r="V59" s="7">
        <v>17.61761</v>
      </c>
    </row>
    <row r="60" spans="1:22" ht="18" customHeight="1">
      <c r="A60" s="3" t="s">
        <v>262</v>
      </c>
      <c r="B60" s="4">
        <v>0.0033899</v>
      </c>
      <c r="C60" s="4">
        <v>-0.08761839584463904</v>
      </c>
      <c r="D60" s="4">
        <v>0.03188962665489403</v>
      </c>
      <c r="E60" s="4">
        <v>0.2372866914215772</v>
      </c>
      <c r="F60" s="4">
        <v>0.2474556103054026</v>
      </c>
      <c r="G60" s="4">
        <v>0.4941196374989356</v>
      </c>
      <c r="H60" s="15"/>
      <c r="I60" s="6">
        <v>707.4400024414062</v>
      </c>
      <c r="J60" s="7">
        <v>17.271484</v>
      </c>
      <c r="K60" s="7">
        <v>13.147405</v>
      </c>
      <c r="L60" s="4">
        <v>0.08523733437534342</v>
      </c>
      <c r="M60" s="4">
        <v>0.0495</v>
      </c>
      <c r="N60" s="4">
        <v>0.1583</v>
      </c>
      <c r="O60" s="3" t="s">
        <v>262</v>
      </c>
      <c r="P60" s="5">
        <v>730</v>
      </c>
      <c r="Q60" s="5">
        <v>875.3061</v>
      </c>
      <c r="R60" s="5">
        <v>882.5</v>
      </c>
      <c r="S60" s="5">
        <v>1057</v>
      </c>
      <c r="T60" s="7">
        <v>41.48</v>
      </c>
      <c r="U60" s="7">
        <v>46.50304</v>
      </c>
      <c r="V60" s="7">
        <v>48.19885</v>
      </c>
    </row>
    <row r="61" spans="1:22" ht="18" customHeight="1">
      <c r="A61" s="3" t="s">
        <v>263</v>
      </c>
      <c r="B61" s="4">
        <v>0.00333325</v>
      </c>
      <c r="C61" s="4">
        <v>0.160444886186963</v>
      </c>
      <c r="D61" s="4">
        <v>-0.2533434169260574</v>
      </c>
      <c r="E61" s="4">
        <v>0.1123056534242357</v>
      </c>
      <c r="F61" s="4">
        <v>0.134161898340166</v>
      </c>
      <c r="G61" s="4">
        <v>0.3704456271610339</v>
      </c>
      <c r="H61" s="15"/>
      <c r="I61" s="6">
        <v>211.6100006103516</v>
      </c>
      <c r="J61" s="7">
        <v>31.965258</v>
      </c>
      <c r="K61" s="7">
        <v>25.92834</v>
      </c>
      <c r="L61" s="4">
        <v>0.1935706799874855</v>
      </c>
      <c r="M61" s="4">
        <v>0.1165</v>
      </c>
      <c r="N61" s="4">
        <v>0.105900005</v>
      </c>
      <c r="O61" s="3" t="s">
        <v>263</v>
      </c>
      <c r="P61" s="5">
        <v>158</v>
      </c>
      <c r="Q61" s="5">
        <v>235.375</v>
      </c>
      <c r="R61" s="5">
        <v>240</v>
      </c>
      <c r="S61" s="5">
        <v>290</v>
      </c>
      <c r="T61" s="7">
        <v>6.61</v>
      </c>
      <c r="U61" s="7">
        <v>7.37255</v>
      </c>
      <c r="V61" s="7">
        <v>8.144220000000001</v>
      </c>
    </row>
    <row r="62" spans="1:22" ht="18" customHeight="1">
      <c r="A62" s="3" t="s">
        <v>125</v>
      </c>
      <c r="B62" s="4">
        <v>0.00323628</v>
      </c>
      <c r="C62" s="4">
        <v>0.1479485757651779</v>
      </c>
      <c r="D62" s="4">
        <v>0.0003818484377482445</v>
      </c>
      <c r="E62" s="4">
        <v>0.1022018584471411</v>
      </c>
      <c r="F62" s="4">
        <v>0.09965638301553992</v>
      </c>
      <c r="G62" s="4">
        <v>0.2905689495112935</v>
      </c>
      <c r="H62" s="15"/>
      <c r="I62" s="6">
        <v>130.9499969482422</v>
      </c>
      <c r="J62" s="7">
        <v>19.3713</v>
      </c>
      <c r="K62" s="7">
        <v>19.017399</v>
      </c>
      <c r="L62" s="4">
        <v>0.2978956402292463</v>
      </c>
      <c r="M62" s="4">
        <v>0.06809999999999999</v>
      </c>
      <c r="N62" s="4">
        <v>0.0799</v>
      </c>
      <c r="O62" s="3" t="s">
        <v>125</v>
      </c>
      <c r="P62" s="5">
        <v>131</v>
      </c>
      <c r="Q62" s="5">
        <v>144.33333</v>
      </c>
      <c r="R62" s="5">
        <v>144</v>
      </c>
      <c r="S62" s="5">
        <v>169</v>
      </c>
      <c r="T62" s="7">
        <v>6.66</v>
      </c>
      <c r="U62" s="7">
        <v>6.37627</v>
      </c>
      <c r="V62" s="7">
        <v>6.8858</v>
      </c>
    </row>
    <row r="63" spans="1:22" ht="18" customHeight="1">
      <c r="A63" s="3" t="s">
        <v>264</v>
      </c>
      <c r="B63" s="4">
        <v>0.00306827</v>
      </c>
      <c r="C63" s="4">
        <v>-0.04875480106942653</v>
      </c>
      <c r="D63" s="4">
        <v>-0.04147465437788023</v>
      </c>
      <c r="E63" s="4">
        <v>0.09293382488479263</v>
      </c>
      <c r="F63" s="4">
        <v>0.1428571428571428</v>
      </c>
      <c r="G63" s="4">
        <v>0.1520737327188939</v>
      </c>
      <c r="H63" s="15"/>
      <c r="I63" s="6">
        <v>27.125</v>
      </c>
      <c r="J63" s="9" t="s">
        <v>79</v>
      </c>
      <c r="K63" s="7">
        <v>1808.0001</v>
      </c>
      <c r="L63" s="4">
        <v>1.703564738025841</v>
      </c>
      <c r="M63" s="4">
        <v>-0.053319</v>
      </c>
      <c r="N63" s="4">
        <v>1.0119001</v>
      </c>
      <c r="O63" s="3" t="s">
        <v>264</v>
      </c>
      <c r="P63" s="5">
        <v>26</v>
      </c>
      <c r="Q63" s="5">
        <v>29.64583</v>
      </c>
      <c r="R63" s="5">
        <v>31</v>
      </c>
      <c r="S63" s="5">
        <v>31.25</v>
      </c>
      <c r="T63" s="7">
        <v>0.29</v>
      </c>
      <c r="U63" s="7">
        <v>-1.23752</v>
      </c>
      <c r="V63" s="7">
        <v>0.008109999999999999</v>
      </c>
    </row>
    <row r="64" spans="1:22" ht="18" customHeight="1">
      <c r="A64" s="3" t="s">
        <v>265</v>
      </c>
      <c r="B64" s="4">
        <v>0.00306714</v>
      </c>
      <c r="C64" s="4">
        <v>-0.2783338171057147</v>
      </c>
      <c r="D64" s="4">
        <v>0.2167827337642267</v>
      </c>
      <c r="E64" s="4">
        <v>0.5523362322148748</v>
      </c>
      <c r="F64" s="4">
        <v>0.5761434375184284</v>
      </c>
      <c r="G64" s="4">
        <v>1.080509337524326</v>
      </c>
      <c r="H64" s="15"/>
      <c r="I64" s="6">
        <v>158.6150054931641</v>
      </c>
      <c r="J64" s="7">
        <v>75.17299</v>
      </c>
      <c r="K64" s="7">
        <v>20.833443</v>
      </c>
      <c r="L64" s="4">
        <v>0.3271608779835113</v>
      </c>
      <c r="M64" s="4">
        <v>0.0915</v>
      </c>
      <c r="N64" s="4">
        <v>0.3727</v>
      </c>
      <c r="O64" s="3" t="s">
        <v>265</v>
      </c>
      <c r="P64" s="5">
        <v>193</v>
      </c>
      <c r="Q64" s="5">
        <v>246.22382</v>
      </c>
      <c r="R64" s="5">
        <v>250</v>
      </c>
      <c r="S64" s="5">
        <v>330</v>
      </c>
      <c r="T64" s="7">
        <v>0.3</v>
      </c>
      <c r="U64" s="7">
        <v>2.57689</v>
      </c>
      <c r="V64" s="7">
        <v>4.38486</v>
      </c>
    </row>
    <row r="65" spans="1:22" ht="18" customHeight="1">
      <c r="A65" s="3" t="s">
        <v>266</v>
      </c>
      <c r="B65" s="4">
        <v>0.00304722</v>
      </c>
      <c r="C65" s="4">
        <v>-0.1112774768534009</v>
      </c>
      <c r="D65" s="4">
        <v>-0.02397360368065127</v>
      </c>
      <c r="E65" s="4">
        <v>0.2957467790540649</v>
      </c>
      <c r="F65" s="4">
        <v>0.299335140100133</v>
      </c>
      <c r="G65" s="4">
        <v>0.5555420691339621</v>
      </c>
      <c r="H65" s="15"/>
      <c r="I65" s="6">
        <v>163.9299926757812</v>
      </c>
      <c r="J65" s="7">
        <v>34.58439</v>
      </c>
      <c r="K65" s="7">
        <v>30.218235</v>
      </c>
      <c r="L65" s="4">
        <v>0.04129311969041671</v>
      </c>
      <c r="M65" s="4">
        <v>0.1125</v>
      </c>
      <c r="N65" s="4">
        <v>0.1083</v>
      </c>
      <c r="O65" s="3" t="s">
        <v>266</v>
      </c>
      <c r="P65" s="5">
        <v>160</v>
      </c>
      <c r="Q65" s="5">
        <v>212.41176</v>
      </c>
      <c r="R65" s="5">
        <v>213</v>
      </c>
      <c r="S65" s="5">
        <v>255</v>
      </c>
      <c r="T65" s="7">
        <v>4.4</v>
      </c>
      <c r="U65" s="7">
        <v>4.88745</v>
      </c>
      <c r="V65" s="7">
        <v>5.42466</v>
      </c>
    </row>
    <row r="66" spans="1:22" ht="18" customHeight="1">
      <c r="A66" s="3" t="s">
        <v>267</v>
      </c>
      <c r="B66" s="4">
        <v>0.00301109</v>
      </c>
      <c r="C66" s="4">
        <v>-0.1496328267371423</v>
      </c>
      <c r="D66" s="4">
        <v>0.1246835279566578</v>
      </c>
      <c r="E66" s="4">
        <v>0.4530986442807019</v>
      </c>
      <c r="F66" s="4">
        <v>0.4652618058807028</v>
      </c>
      <c r="G66" s="4">
        <v>1.107557343866957</v>
      </c>
      <c r="H66" s="15"/>
      <c r="I66" s="6">
        <v>98.43000030517578</v>
      </c>
      <c r="J66" s="7">
        <v>10.157895</v>
      </c>
      <c r="K66" s="7">
        <v>6.9569383</v>
      </c>
      <c r="L66" s="4">
        <v>0.1702962132721701</v>
      </c>
      <c r="M66" s="4">
        <v>0.134</v>
      </c>
      <c r="N66" s="4">
        <v>0.1723</v>
      </c>
      <c r="O66" s="3" t="s">
        <v>267</v>
      </c>
      <c r="P66" s="5">
        <v>110.7026</v>
      </c>
      <c r="Q66" s="5">
        <v>143.0285</v>
      </c>
      <c r="R66" s="5">
        <v>144.22572</v>
      </c>
      <c r="S66" s="5">
        <v>207.44687</v>
      </c>
      <c r="T66" s="7">
        <v>66</v>
      </c>
      <c r="U66" s="7">
        <v>82.07841000000001</v>
      </c>
      <c r="V66" s="7">
        <v>96.22384</v>
      </c>
    </row>
    <row r="67" spans="1:22" ht="18" customHeight="1">
      <c r="A67" s="3" t="s">
        <v>212</v>
      </c>
      <c r="B67" s="4">
        <v>0.00300065</v>
      </c>
      <c r="C67" s="4">
        <v>0.4988412468883854</v>
      </c>
      <c r="D67" s="4">
        <v>-0.3965087281795511</v>
      </c>
      <c r="E67" s="4">
        <v>0.09661082294264345</v>
      </c>
      <c r="F67" s="4">
        <v>0.09725685785536164</v>
      </c>
      <c r="G67" s="4">
        <v>0.5960099750623442</v>
      </c>
      <c r="H67" s="15"/>
      <c r="I67" s="6">
        <v>200.5</v>
      </c>
      <c r="J67" s="7">
        <v>527.6316</v>
      </c>
      <c r="K67" s="7">
        <v>70.75005</v>
      </c>
      <c r="L67" s="4">
        <v>-0.05319222397772594</v>
      </c>
      <c r="M67" s="4">
        <v>0.18020001</v>
      </c>
      <c r="N67" s="4">
        <v>0.1719</v>
      </c>
      <c r="O67" s="3" t="s">
        <v>212</v>
      </c>
      <c r="P67" s="5">
        <v>121</v>
      </c>
      <c r="Q67" s="5">
        <v>219.87047</v>
      </c>
      <c r="R67" s="5">
        <v>220</v>
      </c>
      <c r="S67" s="5">
        <v>320</v>
      </c>
      <c r="T67" s="7">
        <v>0.31</v>
      </c>
      <c r="U67" s="7">
        <v>2.41941</v>
      </c>
      <c r="V67" s="7">
        <v>2.83541</v>
      </c>
    </row>
    <row r="68" spans="1:22" ht="18" customHeight="1">
      <c r="A68" s="3" t="s">
        <v>268</v>
      </c>
      <c r="B68" s="4">
        <v>0.00289199</v>
      </c>
      <c r="C68" s="4">
        <v>0.3835739949364283</v>
      </c>
      <c r="D68" s="4">
        <v>-0.2588017539124502</v>
      </c>
      <c r="E68" s="4">
        <v>0.09341441729794342</v>
      </c>
      <c r="F68" s="4">
        <v>0.1272389992581486</v>
      </c>
      <c r="G68" s="4">
        <v>0.3125385607800362</v>
      </c>
      <c r="H68" s="15"/>
      <c r="I68" s="6">
        <v>64.76000213623047</v>
      </c>
      <c r="J68" s="7">
        <v>20.690096</v>
      </c>
      <c r="K68" s="7">
        <v>23.231789</v>
      </c>
      <c r="L68" s="4">
        <v>0.1191897027478066</v>
      </c>
      <c r="M68" s="4">
        <v>-0.1161</v>
      </c>
      <c r="N68" s="4">
        <v>0.21290001</v>
      </c>
      <c r="O68" s="3" t="s">
        <v>268</v>
      </c>
      <c r="P68" s="5">
        <v>48</v>
      </c>
      <c r="Q68" s="5">
        <v>70.80952000000001</v>
      </c>
      <c r="R68" s="5">
        <v>73</v>
      </c>
      <c r="S68" s="5">
        <v>85</v>
      </c>
      <c r="T68" s="7">
        <v>2.6</v>
      </c>
      <c r="U68" s="7">
        <v>2.29827</v>
      </c>
      <c r="V68" s="7">
        <v>2.78756</v>
      </c>
    </row>
    <row r="69" spans="1:22" ht="18" customHeight="1">
      <c r="A69" s="3" t="s">
        <v>269</v>
      </c>
      <c r="B69" s="4">
        <v>0.00274351</v>
      </c>
      <c r="C69" s="4">
        <v>0.01437691925725115</v>
      </c>
      <c r="D69" s="4">
        <v>-0.03428725659970999</v>
      </c>
      <c r="E69" s="4">
        <v>0.1298630893659816</v>
      </c>
      <c r="F69" s="4">
        <v>0.1074687424315253</v>
      </c>
      <c r="G69" s="4">
        <v>0.3289624909178304</v>
      </c>
      <c r="H69" s="15"/>
      <c r="I69" s="6">
        <v>112.870002746582</v>
      </c>
      <c r="J69" s="7">
        <v>24.014894</v>
      </c>
      <c r="K69" s="7">
        <v>16.666348</v>
      </c>
      <c r="L69" s="4">
        <v>0.08660552728729987</v>
      </c>
      <c r="M69" s="4">
        <v>0.1333</v>
      </c>
      <c r="N69" s="4">
        <v>0.1928</v>
      </c>
      <c r="O69" s="3" t="s">
        <v>269</v>
      </c>
      <c r="P69" s="5">
        <v>109</v>
      </c>
      <c r="Q69" s="5">
        <v>127.52765</v>
      </c>
      <c r="R69" s="5">
        <v>125</v>
      </c>
      <c r="S69" s="5">
        <v>150</v>
      </c>
      <c r="T69" s="7">
        <v>4.51</v>
      </c>
      <c r="U69" s="7">
        <v>5.66698</v>
      </c>
      <c r="V69" s="7">
        <v>6.71507</v>
      </c>
    </row>
    <row r="70" spans="1:22" ht="18" customHeight="1">
      <c r="A70" s="3" t="s">
        <v>270</v>
      </c>
      <c r="B70" s="4">
        <v>0.00273513</v>
      </c>
      <c r="C70" s="4">
        <v>0.04556058241977712</v>
      </c>
      <c r="D70" s="4">
        <v>-0.209031464681287</v>
      </c>
      <c r="E70" s="4">
        <v>0.1180420062645846</v>
      </c>
      <c r="F70" s="4">
        <v>0.1289278185912541</v>
      </c>
      <c r="G70" s="4">
        <v>0.3015027717517005</v>
      </c>
      <c r="H70" s="15"/>
      <c r="I70" s="6">
        <v>139.0700073242188</v>
      </c>
      <c r="J70" s="7">
        <v>34.338272</v>
      </c>
      <c r="K70" s="7">
        <v>23.308123</v>
      </c>
      <c r="L70" s="4">
        <v>0.03224829351189262</v>
      </c>
      <c r="M70" s="4">
        <v>0.2399</v>
      </c>
      <c r="N70" s="4">
        <v>0.2017</v>
      </c>
      <c r="O70" s="3" t="s">
        <v>270</v>
      </c>
      <c r="P70" s="5">
        <v>110</v>
      </c>
      <c r="Q70" s="5">
        <v>155.48611</v>
      </c>
      <c r="R70" s="5">
        <v>157</v>
      </c>
      <c r="S70" s="5">
        <v>181</v>
      </c>
      <c r="T70" s="7">
        <v>4.03</v>
      </c>
      <c r="U70" s="7">
        <v>5.01705</v>
      </c>
      <c r="V70" s="7">
        <v>5.97946</v>
      </c>
    </row>
    <row r="71" spans="1:22" ht="18" customHeight="1">
      <c r="A71" s="3" t="s">
        <v>271</v>
      </c>
      <c r="B71" s="4">
        <v>0.00268918</v>
      </c>
      <c r="C71" s="4">
        <v>0.2399464913232874</v>
      </c>
      <c r="D71" s="4">
        <v>0.0879047842768772</v>
      </c>
      <c r="E71" s="4">
        <v>0.9522172193375618</v>
      </c>
      <c r="F71" s="4">
        <v>0.7832401534727116</v>
      </c>
      <c r="G71" s="4">
        <v>2.30989898989899</v>
      </c>
      <c r="H71" s="15"/>
      <c r="I71" s="6">
        <v>194.8699951171875</v>
      </c>
      <c r="J71" s="9" t="s">
        <v>79</v>
      </c>
      <c r="K71" s="7">
        <v>50.10787</v>
      </c>
      <c r="L71" s="4">
        <v>-0.4935169094292915</v>
      </c>
      <c r="M71" s="4">
        <v>0.2188</v>
      </c>
      <c r="N71" s="4">
        <v>-0.2628</v>
      </c>
      <c r="O71" s="3" t="s">
        <v>271</v>
      </c>
      <c r="P71" s="5">
        <v>212</v>
      </c>
      <c r="Q71" s="5">
        <v>380.42856</v>
      </c>
      <c r="R71" s="5">
        <v>347.5</v>
      </c>
      <c r="S71" s="5">
        <v>645</v>
      </c>
      <c r="T71" s="7">
        <v>-15.23</v>
      </c>
      <c r="U71" s="7">
        <v>53.22833</v>
      </c>
      <c r="V71" s="7">
        <v>23.80333</v>
      </c>
    </row>
    <row r="72" spans="1:22" ht="18" customHeight="1">
      <c r="A72" s="3" t="s">
        <v>185</v>
      </c>
      <c r="B72" s="4">
        <v>0.00244715</v>
      </c>
      <c r="C72" s="4">
        <v>0.5064346016707189</v>
      </c>
      <c r="D72" s="4">
        <v>-0.2299003956255109</v>
      </c>
      <c r="E72" s="4">
        <v>0.1545333268782341</v>
      </c>
      <c r="F72" s="4">
        <v>0.2321593669991826</v>
      </c>
      <c r="G72" s="4">
        <v>0.3861792878740804</v>
      </c>
      <c r="H72" s="15"/>
      <c r="I72" s="6">
        <v>97.38999938964844</v>
      </c>
      <c r="J72" s="7">
        <v>442.68182</v>
      </c>
      <c r="K72" s="7">
        <v>23.835747</v>
      </c>
      <c r="L72" s="4">
        <v>0.1556102917689925</v>
      </c>
      <c r="M72" s="4">
        <v>0.92660004</v>
      </c>
      <c r="N72" s="4">
        <v>0.2932</v>
      </c>
      <c r="O72" s="3" t="s">
        <v>185</v>
      </c>
      <c r="P72" s="5">
        <v>75</v>
      </c>
      <c r="Q72" s="5">
        <v>112.44</v>
      </c>
      <c r="R72" s="5">
        <v>120</v>
      </c>
      <c r="S72" s="5">
        <v>135</v>
      </c>
      <c r="T72" s="7">
        <v>-0.01</v>
      </c>
      <c r="U72" s="7">
        <v>3.15956</v>
      </c>
      <c r="V72" s="7">
        <v>4.08588</v>
      </c>
    </row>
    <row r="73" spans="1:22" ht="18" customHeight="1">
      <c r="A73" s="3" t="s">
        <v>272</v>
      </c>
      <c r="B73" s="4">
        <v>0.00242922</v>
      </c>
      <c r="C73" s="4">
        <v>0.2975881438442163</v>
      </c>
      <c r="D73" s="4">
        <v>-0.007633587786259555</v>
      </c>
      <c r="E73" s="4">
        <v>0.1594571501272264</v>
      </c>
      <c r="F73" s="4">
        <v>0.1450381679389312</v>
      </c>
      <c r="G73" s="4">
        <v>0.3536895674300256</v>
      </c>
      <c r="H73" s="15"/>
      <c r="I73" s="6">
        <v>196.5</v>
      </c>
      <c r="J73" s="7">
        <v>200.5102</v>
      </c>
      <c r="K73" s="7">
        <v>11.482082</v>
      </c>
      <c r="L73" s="4">
        <v>-0.07304186163085791</v>
      </c>
      <c r="M73" s="4">
        <v>0.4159</v>
      </c>
      <c r="N73" s="4">
        <v>-0.096</v>
      </c>
      <c r="O73" s="3" t="s">
        <v>272</v>
      </c>
      <c r="P73" s="5">
        <v>195</v>
      </c>
      <c r="Q73" s="5">
        <v>227.83333</v>
      </c>
      <c r="R73" s="5">
        <v>225</v>
      </c>
      <c r="S73" s="5">
        <v>266</v>
      </c>
      <c r="T73" s="7">
        <v>5.73</v>
      </c>
      <c r="U73" s="7">
        <v>18.93051</v>
      </c>
      <c r="V73" s="7">
        <v>17.11362</v>
      </c>
    </row>
    <row r="74" spans="1:22" ht="18" customHeight="1">
      <c r="A74" s="3" t="s">
        <v>217</v>
      </c>
      <c r="B74" s="4">
        <v>0.0023656</v>
      </c>
      <c r="C74" s="4">
        <v>-0.1767516687919592</v>
      </c>
      <c r="D74" s="4">
        <v>0.0421520729489695</v>
      </c>
      <c r="E74" s="4">
        <v>0.3791502893080589</v>
      </c>
      <c r="F74" s="4">
        <v>0.3789451209141854</v>
      </c>
      <c r="G74" s="4">
        <v>0.9317940864419925</v>
      </c>
      <c r="H74" s="15"/>
      <c r="I74" s="6">
        <v>236.0500030517578</v>
      </c>
      <c r="J74" s="7">
        <v>45.133842</v>
      </c>
      <c r="K74" s="7">
        <v>16.736624</v>
      </c>
      <c r="L74" s="4">
        <v>0.009170879497602424</v>
      </c>
      <c r="M74" s="4">
        <v>0.191</v>
      </c>
      <c r="N74" s="4">
        <v>0.1354</v>
      </c>
      <c r="O74" s="3" t="s">
        <v>217</v>
      </c>
      <c r="P74" s="5">
        <v>246</v>
      </c>
      <c r="Q74" s="5">
        <v>325.54843</v>
      </c>
      <c r="R74" s="5">
        <v>325.5</v>
      </c>
      <c r="S74" s="5">
        <v>456</v>
      </c>
      <c r="T74" s="7">
        <v>5.23</v>
      </c>
      <c r="U74" s="7">
        <v>12.42241</v>
      </c>
      <c r="V74" s="7">
        <v>14.1038</v>
      </c>
    </row>
    <row r="75" spans="1:22" ht="18" customHeight="1">
      <c r="A75" s="3" t="s">
        <v>273</v>
      </c>
      <c r="B75" s="4">
        <v>0.0023274</v>
      </c>
      <c r="C75" s="4">
        <v>0.08100796279547007</v>
      </c>
      <c r="D75" s="4">
        <v>-0.07734995986827231</v>
      </c>
      <c r="E75" s="4">
        <v>0.0770031483492537</v>
      </c>
      <c r="F75" s="4">
        <v>0.04058275202826422</v>
      </c>
      <c r="G75" s="4">
        <v>0.2718233635901008</v>
      </c>
      <c r="H75" s="15"/>
      <c r="I75" s="6">
        <v>43.24499893188477</v>
      </c>
      <c r="J75" s="7">
        <v>38.26991</v>
      </c>
      <c r="K75" s="7">
        <v>31.62687</v>
      </c>
      <c r="L75" s="4">
        <v>0.1526519452797177</v>
      </c>
      <c r="M75" s="4">
        <v>0.1346</v>
      </c>
      <c r="N75" s="4">
        <v>0.10560001</v>
      </c>
      <c r="O75" s="3" t="s">
        <v>273</v>
      </c>
      <c r="P75" s="5">
        <v>39.9</v>
      </c>
      <c r="Q75" s="5">
        <v>46.575</v>
      </c>
      <c r="R75" s="5">
        <v>45</v>
      </c>
      <c r="S75" s="5">
        <v>55</v>
      </c>
      <c r="T75" s="7">
        <v>1.09</v>
      </c>
      <c r="U75" s="7">
        <v>1.23485</v>
      </c>
      <c r="V75" s="7">
        <v>1.36478</v>
      </c>
    </row>
    <row r="76" spans="1:22" ht="18" customHeight="1">
      <c r="A76" s="3" t="s">
        <v>274</v>
      </c>
      <c r="B76" s="4">
        <v>0.0023122</v>
      </c>
      <c r="C76" s="4">
        <v>0.08458557438168812</v>
      </c>
      <c r="D76" s="4">
        <v>-0.01180600072861204</v>
      </c>
      <c r="E76" s="4">
        <v>0.05353960504780164</v>
      </c>
      <c r="F76" s="4">
        <v>0.07241162275505797</v>
      </c>
      <c r="G76" s="4">
        <v>0.1000129645781858</v>
      </c>
      <c r="H76" s="15"/>
      <c r="I76" s="6">
        <v>70.01000213623047</v>
      </c>
      <c r="J76" s="7">
        <v>49.30282</v>
      </c>
      <c r="K76" s="7">
        <v>46.061222</v>
      </c>
      <c r="L76" s="4">
        <v>0.5744470883864716</v>
      </c>
      <c r="M76" s="4">
        <v>0.3202</v>
      </c>
      <c r="N76" s="4">
        <v>0.031600002</v>
      </c>
      <c r="O76" s="3" t="s">
        <v>274</v>
      </c>
      <c r="P76" s="5">
        <v>69.183464</v>
      </c>
      <c r="Q76" s="5">
        <v>73.75830999999999</v>
      </c>
      <c r="R76" s="5">
        <v>75.07953999999999</v>
      </c>
      <c r="S76" s="5">
        <v>77.01191</v>
      </c>
      <c r="T76" s="7">
        <v>4.47</v>
      </c>
      <c r="U76" s="7">
        <v>1.25</v>
      </c>
      <c r="V76" s="7">
        <v>1.2895</v>
      </c>
    </row>
    <row r="77" spans="1:22" ht="18" customHeight="1">
      <c r="A77" s="3" t="s">
        <v>275</v>
      </c>
      <c r="B77" s="4">
        <v>0.00228923</v>
      </c>
      <c r="C77" s="4">
        <v>-0.01979160837060356</v>
      </c>
      <c r="D77" s="4">
        <v>-0.2006994002211657</v>
      </c>
      <c r="E77" s="4">
        <v>0.01311351021967244</v>
      </c>
      <c r="F77" s="4">
        <v>0.04908203720972004</v>
      </c>
      <c r="G77" s="4">
        <v>0.04908203720972004</v>
      </c>
      <c r="H77" s="15"/>
      <c r="I77" s="6">
        <v>200.1750030517578</v>
      </c>
      <c r="J77" s="7">
        <v>57.029915</v>
      </c>
      <c r="K77" s="7">
        <v>20.517029</v>
      </c>
      <c r="L77" s="4">
        <v>0.4071855663878798</v>
      </c>
      <c r="M77" s="4">
        <v>0.1177</v>
      </c>
      <c r="N77" s="4">
        <v>0.1078</v>
      </c>
      <c r="O77" s="3" t="s">
        <v>275</v>
      </c>
      <c r="P77" s="5">
        <v>160</v>
      </c>
      <c r="Q77" s="5">
        <v>202.8</v>
      </c>
      <c r="R77" s="5">
        <v>210</v>
      </c>
      <c r="S77" s="5">
        <v>210</v>
      </c>
      <c r="T77" s="7">
        <v>3.51</v>
      </c>
      <c r="U77" s="7">
        <v>5.70735</v>
      </c>
      <c r="V77" s="7">
        <v>5.94442</v>
      </c>
    </row>
    <row r="78" spans="1:22" ht="18" customHeight="1">
      <c r="A78" s="3" t="s">
        <v>276</v>
      </c>
      <c r="B78" s="4">
        <v>0.00226042</v>
      </c>
      <c r="C78" s="4">
        <v>0.08360691910245488</v>
      </c>
      <c r="D78" s="4">
        <v>-0.07879997120338145</v>
      </c>
      <c r="E78" s="4">
        <v>0.1480420502660553</v>
      </c>
      <c r="F78" s="4">
        <v>0.1639486850335654</v>
      </c>
      <c r="G78" s="4">
        <v>0.2324162547414221</v>
      </c>
      <c r="H78" s="15"/>
      <c r="I78" s="6">
        <v>80.33000183105469</v>
      </c>
      <c r="J78" s="7">
        <v>23.149857</v>
      </c>
      <c r="K78" s="7">
        <v>17.732775</v>
      </c>
      <c r="L78" s="4">
        <v>0.1501974167569864</v>
      </c>
      <c r="M78" s="4">
        <v>0.082399994</v>
      </c>
      <c r="N78" s="4">
        <v>0.1014</v>
      </c>
      <c r="O78" s="3" t="s">
        <v>276</v>
      </c>
      <c r="P78" s="5">
        <v>74</v>
      </c>
      <c r="Q78" s="5">
        <v>92.22221999999999</v>
      </c>
      <c r="R78" s="5">
        <v>93.5</v>
      </c>
      <c r="S78" s="5">
        <v>99</v>
      </c>
      <c r="T78" s="7">
        <v>3.42</v>
      </c>
      <c r="U78" s="7">
        <v>4.113</v>
      </c>
      <c r="V78" s="7">
        <v>4.53003</v>
      </c>
    </row>
    <row r="79" spans="1:22" ht="18" customHeight="1">
      <c r="A79" s="3" t="s">
        <v>277</v>
      </c>
      <c r="B79" s="4">
        <v>0.00204983</v>
      </c>
      <c r="C79" s="4">
        <v>0.01625553977989447</v>
      </c>
      <c r="D79" s="4">
        <v>-0.0283584010354806</v>
      </c>
      <c r="E79" s="4">
        <v>0.1310712640805682</v>
      </c>
      <c r="F79" s="4">
        <v>0.1298158127494411</v>
      </c>
      <c r="G79" s="4">
        <v>0.3105863427893518</v>
      </c>
      <c r="H79" s="15"/>
      <c r="I79" s="6">
        <v>44.25500106811523</v>
      </c>
      <c r="J79" s="7">
        <v>16.210623</v>
      </c>
      <c r="K79" s="7">
        <v>14.561494</v>
      </c>
      <c r="L79" s="4">
        <v>0.1995382825295893</v>
      </c>
      <c r="M79" s="4">
        <v>0.030199999</v>
      </c>
      <c r="N79" s="4">
        <v>0.06510000000000001</v>
      </c>
      <c r="O79" s="3" t="s">
        <v>277</v>
      </c>
      <c r="P79" s="5">
        <v>43</v>
      </c>
      <c r="Q79" s="5">
        <v>50.05556</v>
      </c>
      <c r="R79" s="5">
        <v>50</v>
      </c>
      <c r="S79" s="5">
        <v>58</v>
      </c>
      <c r="T79" s="7">
        <v>2.707353</v>
      </c>
      <c r="U79" s="7">
        <v>2.85353</v>
      </c>
      <c r="V79" s="7">
        <v>3.03918</v>
      </c>
    </row>
    <row r="80" spans="1:22" ht="18" customHeight="1">
      <c r="A80" s="3" t="s">
        <v>134</v>
      </c>
      <c r="B80" s="4">
        <v>0.00203539</v>
      </c>
      <c r="C80" s="4">
        <v>-0.2123762744239927</v>
      </c>
      <c r="D80" s="4">
        <v>-0.1093424500138044</v>
      </c>
      <c r="E80" s="4">
        <v>0.3438371870300123</v>
      </c>
      <c r="F80" s="4">
        <v>0.3501989454577967</v>
      </c>
      <c r="G80" s="4">
        <v>0.525487931359335</v>
      </c>
      <c r="H80" s="15"/>
      <c r="I80" s="6">
        <v>527.7000122070312</v>
      </c>
      <c r="J80" s="7">
        <v>38.772964</v>
      </c>
      <c r="K80" s="7">
        <v>31.977247</v>
      </c>
      <c r="L80" s="4">
        <v>0.6547144899041195</v>
      </c>
      <c r="M80" s="4">
        <v>0.1171</v>
      </c>
      <c r="N80" s="4">
        <v>0.1293</v>
      </c>
      <c r="O80" s="3" t="s">
        <v>134</v>
      </c>
      <c r="P80" s="5">
        <v>470</v>
      </c>
      <c r="Q80" s="5">
        <v>709.1429000000001</v>
      </c>
      <c r="R80" s="5">
        <v>712.5</v>
      </c>
      <c r="S80" s="5">
        <v>805</v>
      </c>
      <c r="T80" s="7">
        <v>13.08</v>
      </c>
      <c r="U80" s="7">
        <v>14.61227</v>
      </c>
      <c r="V80" s="7">
        <v>16.50236</v>
      </c>
    </row>
    <row r="81" spans="1:22" ht="18" customHeight="1">
      <c r="A81" s="3" t="s">
        <v>278</v>
      </c>
      <c r="B81" s="4">
        <v>0.00197757</v>
      </c>
      <c r="C81" s="4">
        <v>0.05764651555662192</v>
      </c>
      <c r="D81" s="4">
        <v>-0.08322185884912459</v>
      </c>
      <c r="E81" s="4">
        <v>0.1379238660549957</v>
      </c>
      <c r="F81" s="4">
        <v>0.1709286901123797</v>
      </c>
      <c r="G81" s="4">
        <v>0.2295613082308163</v>
      </c>
      <c r="H81" s="15"/>
      <c r="I81" s="6">
        <v>93.29499816894531</v>
      </c>
      <c r="J81" s="7">
        <v>18.659</v>
      </c>
      <c r="K81" s="7">
        <v>16.284779</v>
      </c>
      <c r="L81" s="4">
        <v>0.2160905470736494</v>
      </c>
      <c r="M81" s="4">
        <v>0.0418</v>
      </c>
      <c r="N81" s="4">
        <v>0.094</v>
      </c>
      <c r="O81" s="3" t="s">
        <v>278</v>
      </c>
      <c r="P81" s="5">
        <v>85.530815</v>
      </c>
      <c r="Q81" s="5">
        <v>106.162605</v>
      </c>
      <c r="R81" s="5">
        <v>109.24179</v>
      </c>
      <c r="S81" s="5">
        <v>114.71192</v>
      </c>
      <c r="T81" s="7">
        <v>4.26</v>
      </c>
      <c r="U81" s="7">
        <v>4.46453</v>
      </c>
      <c r="V81" s="7">
        <v>4.88399</v>
      </c>
    </row>
    <row r="82" spans="1:22" ht="18" customHeight="1">
      <c r="A82" s="3" t="s">
        <v>279</v>
      </c>
      <c r="B82" s="4">
        <v>0.00190632</v>
      </c>
      <c r="C82" s="4">
        <v>-0.2194360583047922</v>
      </c>
      <c r="D82" s="4">
        <v>-0.2927395125331926</v>
      </c>
      <c r="E82" s="4">
        <v>0.1648281853060167</v>
      </c>
      <c r="F82" s="4">
        <v>0.06089073120021116</v>
      </c>
      <c r="G82" s="4">
        <v>2.257597601491648</v>
      </c>
      <c r="H82" s="15"/>
      <c r="I82" s="6">
        <v>45.24499893188477</v>
      </c>
      <c r="J82" s="7">
        <v>8.488742999999999</v>
      </c>
      <c r="K82" s="7">
        <v>7.795754</v>
      </c>
      <c r="L82" s="4">
        <v>-0.3210146235477336</v>
      </c>
      <c r="M82" s="4">
        <v>-0.0007</v>
      </c>
      <c r="N82" s="4">
        <v>0.09130000000000001</v>
      </c>
      <c r="O82" s="3" t="s">
        <v>279</v>
      </c>
      <c r="P82" s="5">
        <v>32</v>
      </c>
      <c r="Q82" s="5">
        <v>52.70265</v>
      </c>
      <c r="R82" s="5">
        <v>48</v>
      </c>
      <c r="S82" s="5">
        <v>147.39</v>
      </c>
      <c r="T82" s="7">
        <v>5.41</v>
      </c>
      <c r="U82" s="7">
        <v>5.30636</v>
      </c>
      <c r="V82" s="7">
        <v>5.79097</v>
      </c>
    </row>
    <row r="83" spans="1:22" ht="18" customHeight="1">
      <c r="A83" s="3" t="s">
        <v>280</v>
      </c>
      <c r="B83" s="4">
        <v>0.00188654</v>
      </c>
      <c r="C83" s="4">
        <v>0.231065452654345</v>
      </c>
      <c r="D83" s="4">
        <v>-0.2079713724216681</v>
      </c>
      <c r="E83" s="4">
        <v>0.08137456975009338</v>
      </c>
      <c r="F83" s="4">
        <v>0.1113950096663689</v>
      </c>
      <c r="G83" s="4">
        <v>0.2263669072180623</v>
      </c>
      <c r="H83" s="15"/>
      <c r="I83" s="6">
        <v>195.6999969482422</v>
      </c>
      <c r="J83" s="7">
        <v>40.770832</v>
      </c>
      <c r="K83" s="7">
        <v>31.57139</v>
      </c>
      <c r="L83" s="4">
        <v>-0.101300339574662</v>
      </c>
      <c r="M83" s="4">
        <v>0.1104</v>
      </c>
      <c r="N83" s="4">
        <v>0.1533</v>
      </c>
      <c r="O83" s="3" t="s">
        <v>280</v>
      </c>
      <c r="P83" s="5">
        <v>155</v>
      </c>
      <c r="Q83" s="5">
        <v>211.625</v>
      </c>
      <c r="R83" s="5">
        <v>217.5</v>
      </c>
      <c r="S83" s="5">
        <v>240</v>
      </c>
      <c r="T83" s="7">
        <v>4.84</v>
      </c>
      <c r="U83" s="7">
        <v>5.35716</v>
      </c>
      <c r="V83" s="7">
        <v>6.20513</v>
      </c>
    </row>
    <row r="84" spans="1:22" ht="18" customHeight="1">
      <c r="A84" s="3" t="s">
        <v>281</v>
      </c>
      <c r="B84" s="4">
        <v>0.00186301</v>
      </c>
      <c r="C84" s="4">
        <v>-0.1245230567210901</v>
      </c>
      <c r="D84" s="4">
        <v>-0.2509193408109042</v>
      </c>
      <c r="E84" s="4">
        <v>0.2578333619011035</v>
      </c>
      <c r="F84" s="4">
        <v>0.2711671792299808</v>
      </c>
      <c r="G84" s="4">
        <v>0.4527624905485494</v>
      </c>
      <c r="H84" s="15"/>
      <c r="I84" s="6">
        <v>220.2700042724609</v>
      </c>
      <c r="J84" s="9" t="s">
        <v>79</v>
      </c>
      <c r="K84" s="7">
        <v>27.718739</v>
      </c>
      <c r="L84" s="4">
        <v>0.3985360164751908</v>
      </c>
      <c r="M84" s="4">
        <v>0.24110001</v>
      </c>
      <c r="N84" s="4">
        <v>1.0662999</v>
      </c>
      <c r="O84" s="3" t="s">
        <v>281</v>
      </c>
      <c r="P84" s="5">
        <v>165</v>
      </c>
      <c r="Q84" s="5">
        <v>277.06296</v>
      </c>
      <c r="R84" s="5">
        <v>280</v>
      </c>
      <c r="S84" s="5">
        <v>320</v>
      </c>
      <c r="T84" s="7">
        <v>-25.58</v>
      </c>
      <c r="U84" s="7">
        <v>-1.82178</v>
      </c>
      <c r="V84" s="7">
        <v>3.69116</v>
      </c>
    </row>
    <row r="85" spans="1:22" ht="18" customHeight="1">
      <c r="A85" s="3" t="s">
        <v>282</v>
      </c>
      <c r="B85" s="4">
        <v>0.0018577</v>
      </c>
      <c r="C85" s="4">
        <v>-0.292625838126415</v>
      </c>
      <c r="D85" s="4">
        <v>0.0934505805555621</v>
      </c>
      <c r="E85" s="4">
        <v>0.4460190657633862</v>
      </c>
      <c r="F85" s="4">
        <v>0.3527223676976026</v>
      </c>
      <c r="G85" s="4">
        <v>1.095252304342924</v>
      </c>
      <c r="H85" s="15"/>
      <c r="I85" s="6">
        <v>88.70999908447266</v>
      </c>
      <c r="J85" s="7">
        <v>25.491379</v>
      </c>
      <c r="K85" s="7">
        <v>17.57615</v>
      </c>
      <c r="L85" s="4">
        <v>-0.170466974747571</v>
      </c>
      <c r="M85" s="4">
        <v>0.1122</v>
      </c>
      <c r="N85" s="4">
        <v>0.1398</v>
      </c>
      <c r="O85" s="3" t="s">
        <v>282</v>
      </c>
      <c r="P85" s="5">
        <v>97</v>
      </c>
      <c r="Q85" s="5">
        <v>128.27635</v>
      </c>
      <c r="R85" s="5">
        <v>120</v>
      </c>
      <c r="S85" s="5">
        <v>185.86983</v>
      </c>
      <c r="T85" s="7">
        <v>3.382221</v>
      </c>
      <c r="U85" s="7">
        <v>4.42808</v>
      </c>
      <c r="V85" s="7">
        <v>5.04703</v>
      </c>
    </row>
    <row r="86" spans="1:22" ht="18" customHeight="1">
      <c r="A86" s="3" t="s">
        <v>283</v>
      </c>
      <c r="B86" s="4">
        <v>0.00178765</v>
      </c>
      <c r="C86" s="4">
        <v>0.05121593469753916</v>
      </c>
      <c r="D86" s="4">
        <v>-0.03097423234417007</v>
      </c>
      <c r="E86" s="4">
        <v>0.150718099091298</v>
      </c>
      <c r="F86" s="4">
        <v>0.1420660833086567</v>
      </c>
      <c r="G86" s="4">
        <v>0.4535386514837449</v>
      </c>
      <c r="H86" s="15"/>
      <c r="I86" s="6">
        <v>28.89500045776367</v>
      </c>
      <c r="J86" s="7">
        <v>21.403704</v>
      </c>
      <c r="K86" s="7">
        <v>11.443157</v>
      </c>
      <c r="L86" s="4">
        <v>-0.09124892001957341</v>
      </c>
      <c r="M86" s="4">
        <v>0.1148</v>
      </c>
      <c r="N86" s="4">
        <v>0.104899995</v>
      </c>
      <c r="O86" s="3" t="s">
        <v>283</v>
      </c>
      <c r="P86" s="5">
        <v>28</v>
      </c>
      <c r="Q86" s="5">
        <v>33.25</v>
      </c>
      <c r="R86" s="5">
        <v>33</v>
      </c>
      <c r="S86" s="5">
        <v>42</v>
      </c>
      <c r="T86" s="7">
        <v>1.53</v>
      </c>
      <c r="U86" s="7">
        <v>2.28539</v>
      </c>
      <c r="V86" s="7">
        <v>2.52509</v>
      </c>
    </row>
    <row r="87" spans="1:22" ht="18" customHeight="1">
      <c r="A87" s="3" t="s">
        <v>284</v>
      </c>
      <c r="B87" s="4">
        <v>0.00178584</v>
      </c>
      <c r="C87" s="4">
        <v>-0.2828547833253551</v>
      </c>
      <c r="D87" s="4">
        <v>0.08021460775109013</v>
      </c>
      <c r="E87" s="4">
        <v>0.5662414899740646</v>
      </c>
      <c r="F87" s="4">
        <v>0.550630646610436</v>
      </c>
      <c r="G87" s="4">
        <v>0.9722627999584421</v>
      </c>
      <c r="H87" s="15"/>
      <c r="I87" s="6">
        <v>286.9800109863281</v>
      </c>
      <c r="J87" s="7">
        <v>72.10553</v>
      </c>
      <c r="K87" s="7">
        <v>20.684496</v>
      </c>
      <c r="L87" s="4">
        <v>0.7021231153481398</v>
      </c>
      <c r="M87" s="4">
        <v>0.8373999600000001</v>
      </c>
      <c r="N87" s="4">
        <v>0.4864</v>
      </c>
      <c r="O87" s="3" t="s">
        <v>284</v>
      </c>
      <c r="P87" s="5">
        <v>310</v>
      </c>
      <c r="Q87" s="5">
        <v>449.48</v>
      </c>
      <c r="R87" s="5">
        <v>445</v>
      </c>
      <c r="S87" s="5">
        <v>566</v>
      </c>
      <c r="T87" s="7">
        <v>2.33</v>
      </c>
      <c r="U87" s="7">
        <v>9.33418</v>
      </c>
      <c r="V87" s="7">
        <v>13.87416</v>
      </c>
    </row>
    <row r="88" spans="1:22" ht="18" customHeight="1">
      <c r="A88" s="3" t="s">
        <v>219</v>
      </c>
      <c r="B88" s="4">
        <v>0.00161271</v>
      </c>
      <c r="C88" s="4">
        <v>-0.2413281718162494</v>
      </c>
      <c r="D88" s="4">
        <v>0.1099791977273876</v>
      </c>
      <c r="E88" s="4">
        <v>0.3798847804856771</v>
      </c>
      <c r="F88" s="4">
        <v>0.3868201737961898</v>
      </c>
      <c r="G88" s="4">
        <v>0.6725713938357896</v>
      </c>
      <c r="H88" s="15"/>
      <c r="I88" s="6">
        <v>328.8349914550781</v>
      </c>
      <c r="J88" s="7">
        <v>20.552187</v>
      </c>
      <c r="K88" s="7">
        <v>13.763064</v>
      </c>
      <c r="L88" s="4">
        <v>-0.1282905044099737</v>
      </c>
      <c r="M88" s="4">
        <v>0.097600006</v>
      </c>
      <c r="N88" s="4">
        <v>0.08840000000000001</v>
      </c>
      <c r="O88" s="3" t="s">
        <v>219</v>
      </c>
      <c r="P88" s="5">
        <v>365</v>
      </c>
      <c r="Q88" s="5">
        <v>453.7544</v>
      </c>
      <c r="R88" s="5">
        <v>456.035</v>
      </c>
      <c r="S88" s="5">
        <v>550</v>
      </c>
      <c r="T88" s="7">
        <v>14.2</v>
      </c>
      <c r="U88" s="7">
        <v>21.95284</v>
      </c>
      <c r="V88" s="7">
        <v>23.89257</v>
      </c>
    </row>
    <row r="89" spans="1:22" ht="18" customHeight="1">
      <c r="A89" s="3" t="s">
        <v>285</v>
      </c>
      <c r="B89" s="4">
        <v>0.0015388</v>
      </c>
      <c r="C89" s="4">
        <v>-0.1292531816611163</v>
      </c>
      <c r="D89" s="4">
        <v>-0.03835774228693778</v>
      </c>
      <c r="E89" s="4">
        <v>0.0784639482188616</v>
      </c>
      <c r="F89" s="4">
        <v>0.06849139745895805</v>
      </c>
      <c r="G89" s="4">
        <v>0.3356142468236976</v>
      </c>
      <c r="H89" s="15"/>
      <c r="I89" s="6">
        <v>93.58989715576172</v>
      </c>
      <c r="J89" s="7">
        <v>20.66002</v>
      </c>
      <c r="K89" s="7">
        <v>15.86213</v>
      </c>
      <c r="L89" s="4">
        <v>-0.164636590215519</v>
      </c>
      <c r="M89" s="4">
        <v>0.1035</v>
      </c>
      <c r="N89" s="4">
        <v>0.073699996</v>
      </c>
      <c r="O89" s="3" t="s">
        <v>285</v>
      </c>
      <c r="P89" s="5">
        <v>90</v>
      </c>
      <c r="Q89" s="5">
        <v>100.93333</v>
      </c>
      <c r="R89" s="5">
        <v>100</v>
      </c>
      <c r="S89" s="5">
        <v>125</v>
      </c>
      <c r="T89" s="7">
        <v>4.58</v>
      </c>
      <c r="U89" s="7">
        <v>5.49533</v>
      </c>
      <c r="V89" s="7">
        <v>5.90021</v>
      </c>
    </row>
    <row r="90" spans="1:22" ht="18" customHeight="1">
      <c r="A90" s="3" t="s">
        <v>286</v>
      </c>
      <c r="B90" s="4">
        <v>0.00149941</v>
      </c>
      <c r="C90" s="4">
        <v>-0.121127898000834</v>
      </c>
      <c r="D90" s="4">
        <v>-0.03599938863715502</v>
      </c>
      <c r="E90" s="4">
        <v>0.2853342489005237</v>
      </c>
      <c r="F90" s="4">
        <v>0.3255008406239119</v>
      </c>
      <c r="G90" s="4">
        <v>0.6568760507798899</v>
      </c>
      <c r="H90" s="15"/>
      <c r="I90" s="6">
        <v>33.19499969482422</v>
      </c>
      <c r="J90" s="7">
        <v>20.877357</v>
      </c>
      <c r="K90" s="7">
        <v>19.759752</v>
      </c>
      <c r="L90" s="4">
        <v>-0.3048650259585003</v>
      </c>
      <c r="M90" s="4">
        <v>-0.0098</v>
      </c>
      <c r="N90" s="4">
        <v>0.06710000000000001</v>
      </c>
      <c r="O90" s="3" t="s">
        <v>286</v>
      </c>
      <c r="P90" s="5">
        <v>32</v>
      </c>
      <c r="Q90" s="5">
        <v>42.66667</v>
      </c>
      <c r="R90" s="5">
        <v>44</v>
      </c>
      <c r="S90" s="5">
        <v>55</v>
      </c>
      <c r="T90" s="7">
        <v>1.59</v>
      </c>
      <c r="U90" s="7">
        <v>1.57435</v>
      </c>
      <c r="V90" s="7">
        <v>1.67993</v>
      </c>
    </row>
    <row r="91" spans="1:22" ht="18" customHeight="1">
      <c r="A91" s="3" t="s">
        <v>287</v>
      </c>
      <c r="B91" s="4">
        <v>0.00148069</v>
      </c>
      <c r="C91" s="4">
        <v>-0.3201171740652858</v>
      </c>
      <c r="D91" s="4">
        <v>0.06943723076150943</v>
      </c>
      <c r="E91" s="4">
        <v>0.7281973039724712</v>
      </c>
      <c r="F91" s="4">
        <v>0.7620341016501144</v>
      </c>
      <c r="G91" s="4">
        <v>1.15359723535014</v>
      </c>
      <c r="H91" s="15"/>
      <c r="I91" s="6">
        <v>383.0799865722656</v>
      </c>
      <c r="J91" s="7">
        <v>155.72357</v>
      </c>
      <c r="K91" s="7">
        <v>36.230675</v>
      </c>
      <c r="L91" s="4">
        <v>-0.04788009526760351</v>
      </c>
      <c r="M91" s="4">
        <v>0.1225</v>
      </c>
      <c r="N91" s="4">
        <v>0.3752</v>
      </c>
      <c r="O91" s="3" t="s">
        <v>287</v>
      </c>
      <c r="P91" s="5">
        <v>409.68</v>
      </c>
      <c r="Q91" s="5">
        <v>662.0377999999999</v>
      </c>
      <c r="R91" s="5">
        <v>675</v>
      </c>
      <c r="S91" s="5">
        <v>825</v>
      </c>
      <c r="T91" s="7">
        <v>1.51</v>
      </c>
      <c r="U91" s="7">
        <v>7.68883</v>
      </c>
      <c r="V91" s="7">
        <v>10.57336</v>
      </c>
    </row>
    <row r="92" spans="1:22" ht="18" customHeight="1">
      <c r="A92" s="3" t="s">
        <v>181</v>
      </c>
      <c r="B92" s="4">
        <v>0.00135921</v>
      </c>
      <c r="C92" s="4">
        <v>0.8708261683769354</v>
      </c>
      <c r="D92" s="4">
        <v>-0.5573982130771812</v>
      </c>
      <c r="E92" s="4">
        <v>0.03509155419062404</v>
      </c>
      <c r="F92" s="4">
        <v>0.1530941290883965</v>
      </c>
      <c r="G92" s="4">
        <v>0.5188229740719887</v>
      </c>
      <c r="H92" s="15"/>
      <c r="I92" s="6">
        <v>214.639892578125</v>
      </c>
      <c r="J92" s="7">
        <v>252.51752</v>
      </c>
      <c r="K92" s="7">
        <v>71.06811</v>
      </c>
      <c r="L92" s="4">
        <v>-0.1473478926623909</v>
      </c>
      <c r="M92" s="4">
        <v>0.2207</v>
      </c>
      <c r="N92" s="4">
        <v>0.3978</v>
      </c>
      <c r="O92" s="3" t="s">
        <v>181</v>
      </c>
      <c r="P92" s="5">
        <v>95</v>
      </c>
      <c r="Q92" s="5">
        <v>222.17194</v>
      </c>
      <c r="R92" s="5">
        <v>247.5</v>
      </c>
      <c r="S92" s="5">
        <v>326</v>
      </c>
      <c r="T92" s="7">
        <v>0.85</v>
      </c>
      <c r="U92" s="7">
        <v>2.16063</v>
      </c>
      <c r="V92" s="7">
        <v>3.0202</v>
      </c>
    </row>
    <row r="93" spans="1:22" ht="18" customHeight="1">
      <c r="A93" s="3" t="s">
        <v>288</v>
      </c>
      <c r="B93" s="4">
        <v>0.00132086</v>
      </c>
      <c r="C93" s="4">
        <v>-0.2460137323241436</v>
      </c>
      <c r="D93" s="4">
        <v>0.04183363737593826</v>
      </c>
      <c r="E93" s="4">
        <v>0.281413219780615</v>
      </c>
      <c r="F93" s="4">
        <v>0.2822567844626933</v>
      </c>
      <c r="G93" s="4">
        <v>0.5707645609667993</v>
      </c>
      <c r="H93" s="15"/>
      <c r="I93" s="6">
        <v>62.38999938964844</v>
      </c>
      <c r="J93" s="7">
        <v>14.96163</v>
      </c>
      <c r="K93" s="7">
        <v>11.594844</v>
      </c>
      <c r="L93" s="4">
        <v>0.04836888888455082</v>
      </c>
      <c r="M93" s="4">
        <v>0.064</v>
      </c>
      <c r="N93" s="4">
        <v>0.1018</v>
      </c>
      <c r="O93" s="3" t="s">
        <v>288</v>
      </c>
      <c r="P93" s="5">
        <v>65</v>
      </c>
      <c r="Q93" s="5">
        <v>79.94737000000001</v>
      </c>
      <c r="R93" s="5">
        <v>80</v>
      </c>
      <c r="S93" s="5">
        <v>98</v>
      </c>
      <c r="T93" s="7">
        <v>4.55</v>
      </c>
      <c r="U93" s="7">
        <v>4.88373</v>
      </c>
      <c r="V93" s="7">
        <v>5.38084</v>
      </c>
    </row>
    <row r="94" spans="1:22" ht="18" customHeight="1">
      <c r="A94" s="3" t="s">
        <v>289</v>
      </c>
      <c r="B94" s="4">
        <v>0.0012944</v>
      </c>
      <c r="C94" s="4">
        <v>-0.03303233292123497</v>
      </c>
      <c r="D94" s="4">
        <v>-0.2670834135085841</v>
      </c>
      <c r="E94" s="4">
        <v>0.02903299478490839</v>
      </c>
      <c r="F94" s="4">
        <v>-0.008406971217496118</v>
      </c>
      <c r="G94" s="4">
        <v>0.8107350960376158</v>
      </c>
      <c r="H94" s="15"/>
      <c r="I94" s="6">
        <v>23.19499969482422</v>
      </c>
      <c r="J94" s="9" t="s">
        <v>79</v>
      </c>
      <c r="K94" s="7">
        <v>11.003008</v>
      </c>
      <c r="L94" s="4">
        <v>-0.164740677484697</v>
      </c>
      <c r="M94" s="4">
        <v>-0.20809999</v>
      </c>
      <c r="N94" s="4">
        <v>0.0239</v>
      </c>
      <c r="O94" s="3" t="s">
        <v>289</v>
      </c>
      <c r="P94" s="5">
        <v>17</v>
      </c>
      <c r="Q94" s="5">
        <v>23.86842</v>
      </c>
      <c r="R94" s="5">
        <v>23</v>
      </c>
      <c r="S94" s="5">
        <v>42</v>
      </c>
      <c r="T94" s="7">
        <v>-4.93</v>
      </c>
      <c r="U94" s="7">
        <v>2.05887</v>
      </c>
      <c r="V94" s="7">
        <v>2.10806</v>
      </c>
    </row>
    <row r="95" spans="1:22" ht="18" customHeight="1">
      <c r="A95" s="3" t="s">
        <v>222</v>
      </c>
      <c r="B95" s="4">
        <v>0.00124261</v>
      </c>
      <c r="C95" s="4">
        <v>-0.4122649259234297</v>
      </c>
      <c r="D95" s="4">
        <v>-0.04919385777899898</v>
      </c>
      <c r="E95" s="4">
        <v>0.4817455520622451</v>
      </c>
      <c r="F95" s="4">
        <v>0.4675486108193712</v>
      </c>
      <c r="G95" s="4">
        <v>1.480363849272177</v>
      </c>
      <c r="H95" s="15"/>
      <c r="I95" s="6">
        <v>120.9499969482422</v>
      </c>
      <c r="J95" s="7">
        <v>46.69884</v>
      </c>
      <c r="K95" s="7">
        <v>9.718019999999999</v>
      </c>
      <c r="L95" s="4">
        <v>-0.1471569174773605</v>
      </c>
      <c r="M95" s="4">
        <v>0.14</v>
      </c>
      <c r="N95" s="4">
        <v>0.18290001</v>
      </c>
      <c r="O95" s="3" t="s">
        <v>222</v>
      </c>
      <c r="P95" s="5">
        <v>115</v>
      </c>
      <c r="Q95" s="5">
        <v>179.21712</v>
      </c>
      <c r="R95" s="5">
        <v>177.5</v>
      </c>
      <c r="S95" s="5">
        <v>300</v>
      </c>
      <c r="T95" s="7">
        <v>2.59</v>
      </c>
      <c r="U95" s="7">
        <v>10.52199</v>
      </c>
      <c r="V95" s="7">
        <v>12.44595</v>
      </c>
    </row>
    <row r="96" spans="1:22" ht="18" customHeight="1">
      <c r="A96" s="3" t="s">
        <v>224</v>
      </c>
      <c r="B96" s="4">
        <v>0.00112798</v>
      </c>
      <c r="C96" s="4">
        <v>-0.3930886409422851</v>
      </c>
      <c r="D96" s="4">
        <v>0.1206193550954497</v>
      </c>
      <c r="E96" s="4">
        <v>0.4831122103573846</v>
      </c>
      <c r="F96" s="4">
        <v>0.4873675076721424</v>
      </c>
      <c r="G96" s="4">
        <v>0.8948654549795787</v>
      </c>
      <c r="H96" s="15"/>
      <c r="I96" s="6">
        <v>49.08000183105469</v>
      </c>
      <c r="J96" s="7">
        <v>10.6464205</v>
      </c>
      <c r="K96" s="7">
        <v>7.967778</v>
      </c>
      <c r="L96" s="4">
        <v>0.1038102415474702</v>
      </c>
      <c r="M96" s="4">
        <v>0.0771</v>
      </c>
      <c r="N96" s="4">
        <v>0.0832</v>
      </c>
      <c r="O96" s="3" t="s">
        <v>224</v>
      </c>
      <c r="P96" s="5">
        <v>55</v>
      </c>
      <c r="Q96" s="5">
        <v>72.79115</v>
      </c>
      <c r="R96" s="5">
        <v>73</v>
      </c>
      <c r="S96" s="5">
        <v>93</v>
      </c>
      <c r="T96" s="7">
        <v>4.56</v>
      </c>
      <c r="U96" s="7">
        <v>5.68697</v>
      </c>
      <c r="V96" s="7">
        <v>6.16017</v>
      </c>
    </row>
    <row r="97" spans="1:22" ht="18" customHeight="1">
      <c r="A97" s="3" t="s">
        <v>290</v>
      </c>
      <c r="B97" s="4">
        <v>0.00111635</v>
      </c>
      <c r="C97" s="4">
        <v>-0.3280137992522592</v>
      </c>
      <c r="D97" s="4">
        <v>-0.05545811059914474</v>
      </c>
      <c r="E97" s="4">
        <v>0.5120692089745809</v>
      </c>
      <c r="F97" s="4">
        <v>0.4505464730084563</v>
      </c>
      <c r="G97" s="4">
        <v>1.226420167873445</v>
      </c>
      <c r="H97" s="15"/>
      <c r="I97" s="6">
        <v>148.2200012207031</v>
      </c>
      <c r="J97" s="9" t="s">
        <v>79</v>
      </c>
      <c r="K97" s="7">
        <v>32.30813</v>
      </c>
      <c r="L97" s="4">
        <v>0.2381371443066811</v>
      </c>
      <c r="M97" s="4">
        <v>0.22600001</v>
      </c>
      <c r="N97" s="4">
        <v>0.1409</v>
      </c>
      <c r="O97" s="3" t="s">
        <v>290</v>
      </c>
      <c r="P97" s="5">
        <v>140</v>
      </c>
      <c r="Q97" s="5">
        <v>224.1189</v>
      </c>
      <c r="R97" s="5">
        <v>215</v>
      </c>
      <c r="S97" s="5">
        <v>330</v>
      </c>
      <c r="T97" s="7">
        <v>-0.27</v>
      </c>
      <c r="U97" s="7">
        <v>4.02118</v>
      </c>
      <c r="V97" s="7">
        <v>4.5877</v>
      </c>
    </row>
    <row r="98" spans="1:22" ht="18" customHeight="1">
      <c r="A98" s="3" t="s">
        <v>291</v>
      </c>
      <c r="B98" s="4">
        <v>0.00108198</v>
      </c>
      <c r="C98" s="4">
        <v>-0.2390071231725315</v>
      </c>
      <c r="D98" s="4">
        <v>0.1027000970898069</v>
      </c>
      <c r="E98" s="4">
        <v>0.3263956269477648</v>
      </c>
      <c r="F98" s="4">
        <v>0.3113190343770678</v>
      </c>
      <c r="G98" s="4">
        <v>0.6391487929713346</v>
      </c>
      <c r="H98" s="15"/>
      <c r="I98" s="6">
        <v>167.7700042724609</v>
      </c>
      <c r="J98" s="7">
        <v>25.535769</v>
      </c>
      <c r="K98" s="7">
        <v>19.378933</v>
      </c>
      <c r="L98" s="4">
        <v>-0.1762233357839202</v>
      </c>
      <c r="M98" s="4">
        <v>0.0684</v>
      </c>
      <c r="N98" s="4">
        <v>0.1317</v>
      </c>
      <c r="O98" s="3" t="s">
        <v>291</v>
      </c>
      <c r="P98" s="5">
        <v>185</v>
      </c>
      <c r="Q98" s="5">
        <v>222.5294</v>
      </c>
      <c r="R98" s="5">
        <v>220</v>
      </c>
      <c r="S98" s="5">
        <v>275</v>
      </c>
      <c r="T98" s="7">
        <v>6.48</v>
      </c>
      <c r="U98" s="7">
        <v>7.64958</v>
      </c>
      <c r="V98" s="7">
        <v>8.65734</v>
      </c>
    </row>
    <row r="99" spans="1:22" ht="18" customHeight="1">
      <c r="A99" s="3" t="s">
        <v>292</v>
      </c>
      <c r="B99" s="4">
        <v>0.00106458</v>
      </c>
      <c r="C99" s="4">
        <v>-0.1124135773868143</v>
      </c>
      <c r="D99" s="4">
        <v>0.1005756601522068</v>
      </c>
      <c r="E99" s="4">
        <v>0.4145219786225816</v>
      </c>
      <c r="F99" s="4">
        <v>0.3545546586488699</v>
      </c>
      <c r="G99" s="4">
        <v>0.8963765221084179</v>
      </c>
      <c r="H99" s="15"/>
      <c r="I99" s="6">
        <v>59.06000137329102</v>
      </c>
      <c r="J99" s="7">
        <v>25.347641</v>
      </c>
      <c r="K99" s="7">
        <v>19.35486</v>
      </c>
      <c r="L99" s="4">
        <v>-0.1545222580053245</v>
      </c>
      <c r="M99" s="4">
        <v>0.2343</v>
      </c>
      <c r="N99" s="4">
        <v>0.18370001</v>
      </c>
      <c r="O99" s="3" t="s">
        <v>292</v>
      </c>
      <c r="P99" s="5">
        <v>65</v>
      </c>
      <c r="Q99" s="5">
        <v>83.54167</v>
      </c>
      <c r="R99" s="5">
        <v>80</v>
      </c>
      <c r="S99" s="5">
        <v>112</v>
      </c>
      <c r="T99" s="7">
        <v>2.09</v>
      </c>
      <c r="U99" s="7">
        <v>2.57967</v>
      </c>
      <c r="V99" s="7">
        <v>3.0536</v>
      </c>
    </row>
    <row r="100" spans="1:22" ht="18" customHeight="1">
      <c r="A100" s="3" t="s">
        <v>293</v>
      </c>
      <c r="B100" s="4">
        <v>0.00099701</v>
      </c>
      <c r="C100" s="4">
        <v>-0.4055442422191545</v>
      </c>
      <c r="D100" s="4">
        <v>0.3296609248994118</v>
      </c>
      <c r="E100" s="4">
        <v>0.9446291026653897</v>
      </c>
      <c r="F100" s="4">
        <v>0.9944913873491177</v>
      </c>
      <c r="G100" s="4">
        <v>1.307911462503979</v>
      </c>
      <c r="H100" s="15"/>
      <c r="I100" s="6">
        <v>105.2900009155273</v>
      </c>
      <c r="J100" s="9" t="s">
        <v>79</v>
      </c>
      <c r="K100" s="7">
        <v>129.00656</v>
      </c>
      <c r="L100" s="4">
        <v>1.488062914640432</v>
      </c>
      <c r="M100" s="4">
        <v>0.5678</v>
      </c>
      <c r="N100" s="4">
        <v>1.1201999</v>
      </c>
      <c r="O100" s="3" t="s">
        <v>293</v>
      </c>
      <c r="P100" s="5">
        <v>140</v>
      </c>
      <c r="Q100" s="5">
        <v>204.75</v>
      </c>
      <c r="R100" s="5">
        <v>210</v>
      </c>
      <c r="S100" s="5">
        <v>243</v>
      </c>
      <c r="T100" s="7">
        <v>-6.42</v>
      </c>
      <c r="U100" s="7">
        <v>-2.77503</v>
      </c>
      <c r="V100" s="7">
        <v>0.33365</v>
      </c>
    </row>
    <row r="101" spans="1:22" ht="18" customHeight="1">
      <c r="A101" s="3" t="s">
        <v>294</v>
      </c>
      <c r="B101" s="4">
        <v>0.0008949600000000001</v>
      </c>
      <c r="C101" s="4">
        <v>-0.2864702778064966</v>
      </c>
      <c r="D101" s="4">
        <v>-0.1696104166558097</v>
      </c>
      <c r="E101" s="4">
        <v>0.6427818118074329</v>
      </c>
      <c r="F101" s="4">
        <v>0.4565301159464628</v>
      </c>
      <c r="G101" s="4">
        <v>1.765733047751215</v>
      </c>
      <c r="H101" s="15"/>
      <c r="I101" s="6">
        <v>149.3274993896484</v>
      </c>
      <c r="J101" s="7">
        <v>4.039153</v>
      </c>
      <c r="K101" s="7">
        <v>3.3771467</v>
      </c>
      <c r="L101" s="4">
        <v>-0.4024617250524809</v>
      </c>
      <c r="M101" s="4">
        <v>0.116000004</v>
      </c>
      <c r="N101" s="4">
        <v>0.0912</v>
      </c>
      <c r="O101" s="3" t="s">
        <v>294</v>
      </c>
      <c r="P101" s="5">
        <v>124</v>
      </c>
      <c r="Q101" s="5">
        <v>245.3125</v>
      </c>
      <c r="R101" s="5">
        <v>217.5</v>
      </c>
      <c r="S101" s="5">
        <v>413</v>
      </c>
      <c r="T101" s="7">
        <v>36.21</v>
      </c>
      <c r="U101" s="7">
        <v>41.90553</v>
      </c>
      <c r="V101" s="7">
        <v>45.58407</v>
      </c>
    </row>
    <row r="102" spans="1:22" ht="18" customHeight="1">
      <c r="A102" s="3" t="s">
        <v>295</v>
      </c>
      <c r="B102" s="4">
        <v>0.0006278200000000001</v>
      </c>
      <c r="C102" s="4">
        <v>-0.5028162789833359</v>
      </c>
      <c r="D102" s="4">
        <v>0.010410292534488</v>
      </c>
      <c r="E102" s="4">
        <v>0.5099752060748295</v>
      </c>
      <c r="F102" s="4">
        <v>0.530924685658315</v>
      </c>
      <c r="G102" s="4">
        <v>1.143294559921641</v>
      </c>
      <c r="H102" s="15"/>
      <c r="I102" s="6">
        <v>32.65999984741211</v>
      </c>
      <c r="J102" s="7">
        <v>466.5714</v>
      </c>
      <c r="K102" s="7">
        <v>18.369677</v>
      </c>
      <c r="L102" s="4">
        <v>-0.05068479280641713</v>
      </c>
      <c r="M102" s="4">
        <v>0.5657</v>
      </c>
      <c r="N102" s="4">
        <v>0.3053</v>
      </c>
      <c r="O102" s="3" t="s">
        <v>295</v>
      </c>
      <c r="P102" s="5">
        <v>33</v>
      </c>
      <c r="Q102" s="5">
        <v>49.31579</v>
      </c>
      <c r="R102" s="5">
        <v>50</v>
      </c>
      <c r="S102" s="5">
        <v>70</v>
      </c>
      <c r="T102" s="7">
        <v>0.02</v>
      </c>
      <c r="U102" s="7">
        <v>1.36213</v>
      </c>
      <c r="V102" s="7">
        <v>1.77793</v>
      </c>
    </row>
    <row r="105" spans="1:22" ht="18" customHeight="1">
      <c r="A105" s="16" t="s">
        <v>171</v>
      </c>
      <c r="B105" s="17">
        <f>SUM(B3:B102)</f>
        <v>0</v>
      </c>
      <c r="C105" s="17">
        <f>SUMPRODUCT(B3:B102,C3:C102)</f>
        <v>0</v>
      </c>
      <c r="D105" s="17">
        <f>SUMPRODUCT(B3:B102,D3:D102)</f>
        <v>0</v>
      </c>
      <c r="E105" s="17">
        <f>SUMPRODUCT(B3:B102,E3:E102)</f>
        <v>0</v>
      </c>
      <c r="F105" s="17">
        <f>SUMPRODUCT(B3:B102,F3:F102)</f>
        <v>0</v>
      </c>
      <c r="G105" s="17">
        <f>SUMPRODUCT(B3:B102,G3:G102)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0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0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PE_History_Data</vt:lpstr>
      <vt:lpstr>SPMO</vt:lpstr>
      <vt:lpstr>MAGS</vt:lpstr>
      <vt:lpstr>TECH_TO</vt:lpstr>
      <vt:lpstr>CHPS_TO</vt:lpstr>
      <vt:lpstr>SOXX</vt:lpstr>
      <vt:lpstr>SMH</vt:lpstr>
      <vt:lpstr>XLK</vt:lpstr>
      <vt:lpstr>QQQ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2026-05-11T18:17:58Z</dcterms:created>
  <dcterms:modified xsi:type="dcterms:W3CDTF">2026-05-11T18:17:58Z</dcterms:modified>
</cp:coreProperties>
</file>